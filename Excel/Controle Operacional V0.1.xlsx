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hevan.Dev\Documents\JL\"/>
    </mc:Choice>
  </mc:AlternateContent>
  <xr:revisionPtr revIDLastSave="0" documentId="13_ncr:1_{872BB0F5-057A-41B2-9767-EFE493F22565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Controle" sheetId="1" r:id="rId1"/>
    <sheet name="CPU" sheetId="2" r:id="rId2"/>
    <sheet name="Dados" sheetId="3" r:id="rId3"/>
  </sheets>
  <definedNames>
    <definedName name="_xlnm._FilterDatabase" localSheetId="1" hidden="1">CPU!$C$1:$H$1</definedName>
    <definedName name="_xlnm._FilterDatabase" localSheetId="2" hidden="1">Dados!$A$2:$V$329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H5" i="3"/>
  <c r="I5" i="3"/>
  <c r="J5" i="3"/>
  <c r="K5" i="3"/>
  <c r="L5" i="3"/>
  <c r="M5" i="3"/>
  <c r="N5" i="3"/>
  <c r="O5" i="3"/>
  <c r="P5" i="3"/>
  <c r="Q5" i="3"/>
  <c r="R5" i="3"/>
  <c r="V5" i="3" s="1"/>
  <c r="E5" i="3" s="1"/>
  <c r="S5" i="3"/>
  <c r="T5" i="3"/>
  <c r="U5" i="3"/>
  <c r="F5" i="1"/>
  <c r="AB6" i="3"/>
  <c r="AA6" i="3"/>
  <c r="G8" i="1"/>
  <c r="G9" i="1"/>
  <c r="G10" i="1"/>
  <c r="G15" i="1"/>
  <c r="G16" i="1"/>
  <c r="G17" i="1"/>
  <c r="G18" i="1"/>
  <c r="F9" i="1"/>
  <c r="F15" i="1"/>
  <c r="F16" i="1"/>
  <c r="F17" i="1"/>
  <c r="F18" i="1"/>
  <c r="F8" i="1"/>
  <c r="AB19" i="3"/>
  <c r="AA20" i="3"/>
  <c r="F19" i="1" s="1"/>
  <c r="AA14" i="3"/>
  <c r="F13" i="1" s="1"/>
  <c r="AA13" i="3"/>
  <c r="F12" i="1" s="1"/>
  <c r="AA19" i="3"/>
  <c r="AA18" i="3"/>
  <c r="AA11" i="3"/>
  <c r="F10" i="1" s="1"/>
  <c r="AA12" i="3"/>
  <c r="F11" i="1" s="1"/>
  <c r="AA17" i="3"/>
  <c r="AA16" i="3"/>
  <c r="AA10" i="3"/>
  <c r="AA9" i="3"/>
  <c r="AA8" i="3"/>
  <c r="F7" i="1" s="1"/>
  <c r="V6" i="3"/>
  <c r="V7" i="3"/>
  <c r="E7" i="3" s="1"/>
  <c r="V8" i="3"/>
  <c r="E8" i="3" s="1"/>
  <c r="V9" i="3"/>
  <c r="E9" i="3" s="1"/>
  <c r="V10" i="3"/>
  <c r="E10" i="3" s="1"/>
  <c r="V11" i="3"/>
  <c r="V12" i="3"/>
  <c r="E12" i="3" s="1"/>
  <c r="V13" i="3"/>
  <c r="E13" i="3" s="1"/>
  <c r="V14" i="3"/>
  <c r="E14" i="3" s="1"/>
  <c r="AB12" i="3" s="1"/>
  <c r="G11" i="1" s="1"/>
  <c r="V15" i="3"/>
  <c r="E15" i="3" s="1"/>
  <c r="AB14" i="3" s="1"/>
  <c r="G13" i="1" s="1"/>
  <c r="V16" i="3"/>
  <c r="E16" i="3" s="1"/>
  <c r="V17" i="3"/>
  <c r="E17" i="3" s="1"/>
  <c r="V18" i="3"/>
  <c r="E18" i="3" s="1"/>
  <c r="AB20" i="3" s="1"/>
  <c r="G19" i="1" s="1"/>
  <c r="V19" i="3"/>
  <c r="E19" i="3" s="1"/>
  <c r="V20" i="3"/>
  <c r="V21" i="3"/>
  <c r="E21" i="3" s="1"/>
  <c r="V22" i="3"/>
  <c r="E22" i="3" s="1"/>
  <c r="V23" i="3"/>
  <c r="E23" i="3" s="1"/>
  <c r="AB8" i="3" s="1"/>
  <c r="G7" i="1" s="1"/>
  <c r="V24" i="3"/>
  <c r="E24" i="3" s="1"/>
  <c r="AB13" i="3" s="1"/>
  <c r="G12" i="1" s="1"/>
  <c r="V25" i="3"/>
  <c r="E25" i="3" s="1"/>
  <c r="V26" i="3"/>
  <c r="V27" i="3"/>
  <c r="E27" i="3" s="1"/>
  <c r="V28" i="3"/>
  <c r="E28" i="3" s="1"/>
  <c r="V29" i="3"/>
  <c r="E29" i="3" s="1"/>
  <c r="V30" i="3"/>
  <c r="V31" i="3"/>
  <c r="E31" i="3" s="1"/>
  <c r="V32" i="3"/>
  <c r="E32" i="3" s="1"/>
  <c r="V33" i="3"/>
  <c r="E33" i="3" s="1"/>
  <c r="V34" i="3"/>
  <c r="V35" i="3"/>
  <c r="E35" i="3" s="1"/>
  <c r="V36" i="3"/>
  <c r="E36" i="3" s="1"/>
  <c r="V37" i="3"/>
  <c r="E37" i="3" s="1"/>
  <c r="V38" i="3"/>
  <c r="V39" i="3"/>
  <c r="E39" i="3" s="1"/>
  <c r="V40" i="3"/>
  <c r="E40" i="3" s="1"/>
  <c r="V41" i="3"/>
  <c r="E41" i="3" s="1"/>
  <c r="V42" i="3"/>
  <c r="V43" i="3"/>
  <c r="E43" i="3" s="1"/>
  <c r="V44" i="3"/>
  <c r="E44" i="3" s="1"/>
  <c r="V45" i="3"/>
  <c r="E45" i="3" s="1"/>
  <c r="V46" i="3"/>
  <c r="E46" i="3" s="1"/>
  <c r="V47" i="3"/>
  <c r="E47" i="3" s="1"/>
  <c r="V48" i="3"/>
  <c r="E48" i="3" s="1"/>
  <c r="V49" i="3"/>
  <c r="E49" i="3" s="1"/>
  <c r="V50" i="3"/>
  <c r="E50" i="3" s="1"/>
  <c r="V51" i="3"/>
  <c r="V52" i="3"/>
  <c r="E52" i="3" s="1"/>
  <c r="V53" i="3"/>
  <c r="E53" i="3" s="1"/>
  <c r="V54" i="3"/>
  <c r="E54" i="3" s="1"/>
  <c r="V55" i="3"/>
  <c r="E55" i="3" s="1"/>
  <c r="V56" i="3"/>
  <c r="E56" i="3" s="1"/>
  <c r="V57" i="3"/>
  <c r="E57" i="3" s="1"/>
  <c r="V58" i="3"/>
  <c r="E58" i="3" s="1"/>
  <c r="V59" i="3"/>
  <c r="E59" i="3" s="1"/>
  <c r="V60" i="3"/>
  <c r="E60" i="3" s="1"/>
  <c r="V61" i="3"/>
  <c r="V62" i="3"/>
  <c r="E62" i="3" s="1"/>
  <c r="V63" i="3"/>
  <c r="E63" i="3" s="1"/>
  <c r="V64" i="3"/>
  <c r="E64" i="3" s="1"/>
  <c r="V65" i="3"/>
  <c r="E65" i="3" s="1"/>
  <c r="V66" i="3"/>
  <c r="E66" i="3" s="1"/>
  <c r="V67" i="3"/>
  <c r="E67" i="3" s="1"/>
  <c r="V68" i="3"/>
  <c r="E68" i="3" s="1"/>
  <c r="V69" i="3"/>
  <c r="E69" i="3" s="1"/>
  <c r="V70" i="3"/>
  <c r="E70" i="3" s="1"/>
  <c r="V71" i="3"/>
  <c r="V72" i="3"/>
  <c r="E72" i="3" s="1"/>
  <c r="V73" i="3"/>
  <c r="V74" i="3"/>
  <c r="E74" i="3" s="1"/>
  <c r="V75" i="3"/>
  <c r="E75" i="3" s="1"/>
  <c r="V76" i="3"/>
  <c r="E76" i="3" s="1"/>
  <c r="V77" i="3"/>
  <c r="E77" i="3" s="1"/>
  <c r="V78" i="3"/>
  <c r="E78" i="3" s="1"/>
  <c r="V79" i="3"/>
  <c r="E79" i="3" s="1"/>
  <c r="V80" i="3"/>
  <c r="V81" i="3"/>
  <c r="E81" i="3" s="1"/>
  <c r="V82" i="3"/>
  <c r="E82" i="3" s="1"/>
  <c r="V83" i="3"/>
  <c r="E83" i="3" s="1"/>
  <c r="V84" i="3"/>
  <c r="E84" i="3" s="1"/>
  <c r="V85" i="3"/>
  <c r="V86" i="3"/>
  <c r="E86" i="3" s="1"/>
  <c r="V87" i="3"/>
  <c r="V88" i="3"/>
  <c r="E88" i="3" s="1"/>
  <c r="V89" i="3"/>
  <c r="E89" i="3" s="1"/>
  <c r="V90" i="3"/>
  <c r="E90" i="3" s="1"/>
  <c r="V91" i="3"/>
  <c r="E91" i="3" s="1"/>
  <c r="V92" i="3"/>
  <c r="E92" i="3" s="1"/>
  <c r="V93" i="3"/>
  <c r="E93" i="3" s="1"/>
  <c r="V94" i="3"/>
  <c r="E94" i="3" s="1"/>
  <c r="V95" i="3"/>
  <c r="V96" i="3"/>
  <c r="E96" i="3" s="1"/>
  <c r="V97" i="3"/>
  <c r="E97" i="3" s="1"/>
  <c r="V98" i="3"/>
  <c r="E98" i="3" s="1"/>
  <c r="V99" i="3"/>
  <c r="E99" i="3" s="1"/>
  <c r="V100" i="3"/>
  <c r="E100" i="3" s="1"/>
  <c r="V101" i="3"/>
  <c r="E101" i="3" s="1"/>
  <c r="V102" i="3"/>
  <c r="V103" i="3"/>
  <c r="E103" i="3" s="1"/>
  <c r="V104" i="3"/>
  <c r="V105" i="3"/>
  <c r="E105" i="3" s="1"/>
  <c r="V106" i="3"/>
  <c r="E106" i="3" s="1"/>
  <c r="V107" i="3"/>
  <c r="E107" i="3" s="1"/>
  <c r="V108" i="3"/>
  <c r="E108" i="3" s="1"/>
  <c r="V109" i="3"/>
  <c r="E109" i="3" s="1"/>
  <c r="V110" i="3"/>
  <c r="E110" i="3" s="1"/>
  <c r="V111" i="3"/>
  <c r="E111" i="3" s="1"/>
  <c r="V112" i="3"/>
  <c r="V113" i="3"/>
  <c r="E113" i="3" s="1"/>
  <c r="V114" i="3"/>
  <c r="E114" i="3" s="1"/>
  <c r="V115" i="3"/>
  <c r="E115" i="3" s="1"/>
  <c r="V116" i="3"/>
  <c r="E116" i="3" s="1"/>
  <c r="V117" i="3"/>
  <c r="E117" i="3" s="1"/>
  <c r="V118" i="3"/>
  <c r="E118" i="3" s="1"/>
  <c r="V119" i="3"/>
  <c r="V120" i="3"/>
  <c r="E120" i="3" s="1"/>
  <c r="V121" i="3"/>
  <c r="V122" i="3"/>
  <c r="E122" i="3" s="1"/>
  <c r="V123" i="3"/>
  <c r="E123" i="3" s="1"/>
  <c r="V124" i="3"/>
  <c r="E124" i="3" s="1"/>
  <c r="V125" i="3"/>
  <c r="E125" i="3" s="1"/>
  <c r="V126" i="3"/>
  <c r="E126" i="3" s="1"/>
  <c r="V127" i="3"/>
  <c r="E127" i="3" s="1"/>
  <c r="V128" i="3"/>
  <c r="V129" i="3"/>
  <c r="E129" i="3" s="1"/>
  <c r="V130" i="3"/>
  <c r="E130" i="3" s="1"/>
  <c r="V131" i="3"/>
  <c r="E131" i="3" s="1"/>
  <c r="V132" i="3"/>
  <c r="E132" i="3" s="1"/>
  <c r="V133" i="3"/>
  <c r="E133" i="3" s="1"/>
  <c r="V134" i="3"/>
  <c r="E134" i="3" s="1"/>
  <c r="V135" i="3"/>
  <c r="V136" i="3"/>
  <c r="E136" i="3" s="1"/>
  <c r="V137" i="3"/>
  <c r="E137" i="3" s="1"/>
  <c r="V138" i="3"/>
  <c r="V139" i="3"/>
  <c r="E139" i="3" s="1"/>
  <c r="V140" i="3"/>
  <c r="E140" i="3" s="1"/>
  <c r="V141" i="3"/>
  <c r="V142" i="3"/>
  <c r="E142" i="3" s="1"/>
  <c r="V143" i="3"/>
  <c r="E143" i="3" s="1"/>
  <c r="V144" i="3"/>
  <c r="V145" i="3"/>
  <c r="E145" i="3" s="1"/>
  <c r="V146" i="3"/>
  <c r="E146" i="3" s="1"/>
  <c r="V147" i="3"/>
  <c r="V148" i="3"/>
  <c r="E148" i="3" s="1"/>
  <c r="V149" i="3"/>
  <c r="E149" i="3" s="1"/>
  <c r="V150" i="3"/>
  <c r="V151" i="3"/>
  <c r="E151" i="3" s="1"/>
  <c r="V152" i="3"/>
  <c r="E152" i="3" s="1"/>
  <c r="V153" i="3"/>
  <c r="V154" i="3"/>
  <c r="E154" i="3" s="1"/>
  <c r="V155" i="3"/>
  <c r="E155" i="3" s="1"/>
  <c r="V156" i="3"/>
  <c r="V157" i="3"/>
  <c r="E157" i="3" s="1"/>
  <c r="V158" i="3"/>
  <c r="E158" i="3" s="1"/>
  <c r="V159" i="3"/>
  <c r="V160" i="3"/>
  <c r="E160" i="3" s="1"/>
  <c r="V161" i="3"/>
  <c r="E161" i="3" s="1"/>
  <c r="V162" i="3"/>
  <c r="V163" i="3"/>
  <c r="E163" i="3" s="1"/>
  <c r="V164" i="3"/>
  <c r="E164" i="3" s="1"/>
  <c r="V165" i="3"/>
  <c r="V166" i="3"/>
  <c r="E166" i="3" s="1"/>
  <c r="V167" i="3"/>
  <c r="E167" i="3" s="1"/>
  <c r="V168" i="3"/>
  <c r="V169" i="3"/>
  <c r="E169" i="3" s="1"/>
  <c r="V170" i="3"/>
  <c r="E170" i="3" s="1"/>
  <c r="V171" i="3"/>
  <c r="V172" i="3"/>
  <c r="E172" i="3" s="1"/>
  <c r="V173" i="3"/>
  <c r="E173" i="3" s="1"/>
  <c r="V174" i="3"/>
  <c r="E174" i="3" s="1"/>
  <c r="V175" i="3"/>
  <c r="V176" i="3"/>
  <c r="E176" i="3" s="1"/>
  <c r="V177" i="3"/>
  <c r="E177" i="3" s="1"/>
  <c r="V178" i="3"/>
  <c r="E178" i="3" s="1"/>
  <c r="V179" i="3"/>
  <c r="V180" i="3"/>
  <c r="E180" i="3" s="1"/>
  <c r="V181" i="3"/>
  <c r="E181" i="3" s="1"/>
  <c r="V182" i="3"/>
  <c r="E182" i="3" s="1"/>
  <c r="V183" i="3"/>
  <c r="V184" i="3"/>
  <c r="E184" i="3" s="1"/>
  <c r="V185" i="3"/>
  <c r="E185" i="3" s="1"/>
  <c r="V186" i="3"/>
  <c r="E186" i="3" s="1"/>
  <c r="V187" i="3"/>
  <c r="V188" i="3"/>
  <c r="E188" i="3" s="1"/>
  <c r="V189" i="3"/>
  <c r="E189" i="3" s="1"/>
  <c r="V190" i="3"/>
  <c r="E190" i="3" s="1"/>
  <c r="V191" i="3"/>
  <c r="V192" i="3"/>
  <c r="E192" i="3" s="1"/>
  <c r="V193" i="3"/>
  <c r="V194" i="3"/>
  <c r="E194" i="3" s="1"/>
  <c r="V195" i="3"/>
  <c r="V196" i="3"/>
  <c r="E196" i="3" s="1"/>
  <c r="V197" i="3"/>
  <c r="E197" i="3" s="1"/>
  <c r="V198" i="3"/>
  <c r="V199" i="3"/>
  <c r="E199" i="3" s="1"/>
  <c r="V200" i="3"/>
  <c r="V201" i="3"/>
  <c r="E201" i="3" s="1"/>
  <c r="V202" i="3"/>
  <c r="E202" i="3" s="1"/>
  <c r="V203" i="3"/>
  <c r="E203" i="3" s="1"/>
  <c r="V204" i="3"/>
  <c r="V205" i="3"/>
  <c r="E205" i="3" s="1"/>
  <c r="V206" i="3"/>
  <c r="E206" i="3" s="1"/>
  <c r="V207" i="3"/>
  <c r="E207" i="3" s="1"/>
  <c r="V208" i="3"/>
  <c r="V209" i="3"/>
  <c r="E209" i="3" s="1"/>
  <c r="V210" i="3"/>
  <c r="V211" i="3"/>
  <c r="E211" i="3" s="1"/>
  <c r="V212" i="3"/>
  <c r="E212" i="3" s="1"/>
  <c r="V213" i="3"/>
  <c r="E213" i="3" s="1"/>
  <c r="V214" i="3"/>
  <c r="V215" i="3"/>
  <c r="E215" i="3" s="1"/>
  <c r="V216" i="3"/>
  <c r="E216" i="3" s="1"/>
  <c r="V217" i="3"/>
  <c r="E217" i="3" s="1"/>
  <c r="V218" i="3"/>
  <c r="V219" i="3"/>
  <c r="E219" i="3" s="1"/>
  <c r="V220" i="3"/>
  <c r="V221" i="3"/>
  <c r="E221" i="3" s="1"/>
  <c r="V222" i="3"/>
  <c r="E222" i="3" s="1"/>
  <c r="V223" i="3"/>
  <c r="E223" i="3" s="1"/>
  <c r="V224" i="3"/>
  <c r="V225" i="3"/>
  <c r="E225" i="3" s="1"/>
  <c r="V226" i="3"/>
  <c r="E226" i="3" s="1"/>
  <c r="V227" i="3"/>
  <c r="E227" i="3" s="1"/>
  <c r="V228" i="3"/>
  <c r="V229" i="3"/>
  <c r="E229" i="3" s="1"/>
  <c r="V230" i="3"/>
  <c r="V231" i="3"/>
  <c r="E231" i="3" s="1"/>
  <c r="V232" i="3"/>
  <c r="E232" i="3" s="1"/>
  <c r="V233" i="3"/>
  <c r="E233" i="3" s="1"/>
  <c r="V234" i="3"/>
  <c r="V235" i="3"/>
  <c r="E235" i="3" s="1"/>
  <c r="V236" i="3"/>
  <c r="E236" i="3" s="1"/>
  <c r="V237" i="3"/>
  <c r="E237" i="3" s="1"/>
  <c r="V238" i="3"/>
  <c r="V239" i="3"/>
  <c r="E239" i="3" s="1"/>
  <c r="V240" i="3"/>
  <c r="E240" i="3" s="1"/>
  <c r="V241" i="3"/>
  <c r="V242" i="3"/>
  <c r="E242" i="3" s="1"/>
  <c r="V243" i="3"/>
  <c r="E243" i="3" s="1"/>
  <c r="V244" i="3"/>
  <c r="V245" i="3"/>
  <c r="E245" i="3" s="1"/>
  <c r="V246" i="3"/>
  <c r="E246" i="3" s="1"/>
  <c r="V247" i="3"/>
  <c r="V248" i="3"/>
  <c r="E248" i="3" s="1"/>
  <c r="V249" i="3"/>
  <c r="E249" i="3" s="1"/>
  <c r="V250" i="3"/>
  <c r="V251" i="3"/>
  <c r="E251" i="3" s="1"/>
  <c r="V252" i="3"/>
  <c r="E252" i="3" s="1"/>
  <c r="V253" i="3"/>
  <c r="V254" i="3"/>
  <c r="E254" i="3" s="1"/>
  <c r="V255" i="3"/>
  <c r="E255" i="3" s="1"/>
  <c r="V256" i="3"/>
  <c r="V257" i="3"/>
  <c r="E257" i="3" s="1"/>
  <c r="V258" i="3"/>
  <c r="E258" i="3" s="1"/>
  <c r="V259" i="3"/>
  <c r="V260" i="3"/>
  <c r="E260" i="3" s="1"/>
  <c r="V261" i="3"/>
  <c r="E261" i="3" s="1"/>
  <c r="V262" i="3"/>
  <c r="V263" i="3"/>
  <c r="E263" i="3" s="1"/>
  <c r="V264" i="3"/>
  <c r="E264" i="3" s="1"/>
  <c r="V265" i="3"/>
  <c r="V266" i="3"/>
  <c r="E266" i="3" s="1"/>
  <c r="V267" i="3"/>
  <c r="E267" i="3" s="1"/>
  <c r="V268" i="3"/>
  <c r="V269" i="3"/>
  <c r="E269" i="3" s="1"/>
  <c r="V270" i="3"/>
  <c r="E270" i="3" s="1"/>
  <c r="V271" i="3"/>
  <c r="V272" i="3"/>
  <c r="E272" i="3" s="1"/>
  <c r="V273" i="3"/>
  <c r="E273" i="3" s="1"/>
  <c r="V274" i="3"/>
  <c r="V275" i="3"/>
  <c r="E275" i="3" s="1"/>
  <c r="V276" i="3"/>
  <c r="E276" i="3" s="1"/>
  <c r="V277" i="3"/>
  <c r="V278" i="3"/>
  <c r="E278" i="3" s="1"/>
  <c r="V279" i="3"/>
  <c r="E279" i="3" s="1"/>
  <c r="V280" i="3"/>
  <c r="V281" i="3"/>
  <c r="E281" i="3" s="1"/>
  <c r="V282" i="3"/>
  <c r="V283" i="3"/>
  <c r="E283" i="3" s="1"/>
  <c r="V284" i="3"/>
  <c r="V285" i="3"/>
  <c r="E285" i="3" s="1"/>
  <c r="V286" i="3"/>
  <c r="E286" i="3" s="1"/>
  <c r="V287" i="3"/>
  <c r="V288" i="3"/>
  <c r="E288" i="3" s="1"/>
  <c r="V289" i="3"/>
  <c r="V290" i="3"/>
  <c r="E290" i="3" s="1"/>
  <c r="V291" i="3"/>
  <c r="V292" i="3"/>
  <c r="E292" i="3" s="1"/>
  <c r="V293" i="3"/>
  <c r="E293" i="3" s="1"/>
  <c r="V294" i="3"/>
  <c r="V295" i="3"/>
  <c r="E295" i="3" s="1"/>
  <c r="V296" i="3"/>
  <c r="V297" i="3"/>
  <c r="E297" i="3" s="1"/>
  <c r="V298" i="3"/>
  <c r="V299" i="3"/>
  <c r="E299" i="3" s="1"/>
  <c r="V300" i="3"/>
  <c r="E300" i="3" s="1"/>
  <c r="V301" i="3"/>
  <c r="V302" i="3"/>
  <c r="E302" i="3" s="1"/>
  <c r="V303" i="3"/>
  <c r="V304" i="3"/>
  <c r="E304" i="3" s="1"/>
  <c r="V305" i="3"/>
  <c r="V306" i="3"/>
  <c r="E306" i="3" s="1"/>
  <c r="V307" i="3"/>
  <c r="E307" i="3" s="1"/>
  <c r="V308" i="3"/>
  <c r="V309" i="3"/>
  <c r="E309" i="3" s="1"/>
  <c r="V310" i="3"/>
  <c r="V311" i="3"/>
  <c r="E311" i="3" s="1"/>
  <c r="V312" i="3"/>
  <c r="V313" i="3"/>
  <c r="E313" i="3" s="1"/>
  <c r="V314" i="3"/>
  <c r="E314" i="3" s="1"/>
  <c r="V315" i="3"/>
  <c r="V316" i="3"/>
  <c r="E316" i="3" s="1"/>
  <c r="V317" i="3"/>
  <c r="V318" i="3"/>
  <c r="E318" i="3" s="1"/>
  <c r="V319" i="3"/>
  <c r="V320" i="3"/>
  <c r="E320" i="3" s="1"/>
  <c r="V321" i="3"/>
  <c r="E321" i="3" s="1"/>
  <c r="V322" i="3"/>
  <c r="V323" i="3"/>
  <c r="E323" i="3" s="1"/>
  <c r="V324" i="3"/>
  <c r="V325" i="3"/>
  <c r="E325" i="3" s="1"/>
  <c r="V326" i="3"/>
  <c r="E326" i="3" s="1"/>
  <c r="V327" i="3"/>
  <c r="V328" i="3"/>
  <c r="E328" i="3" s="1"/>
  <c r="V329" i="3"/>
  <c r="E329" i="3" s="1"/>
  <c r="D80" i="3"/>
  <c r="D73" i="3"/>
  <c r="D87" i="3"/>
  <c r="D95" i="3"/>
  <c r="D112" i="3"/>
  <c r="E112" i="3" s="1"/>
  <c r="D104" i="3"/>
  <c r="D128" i="3"/>
  <c r="D121" i="3"/>
  <c r="D144" i="3"/>
  <c r="D141" i="3" s="1"/>
  <c r="D138" i="3"/>
  <c r="D135" i="3" s="1"/>
  <c r="E135" i="3" s="1"/>
  <c r="D150" i="3"/>
  <c r="D147" i="3" s="1"/>
  <c r="E147" i="3" s="1"/>
  <c r="D156" i="3"/>
  <c r="D153" i="3" s="1"/>
  <c r="D162" i="3"/>
  <c r="D159" i="3" s="1"/>
  <c r="E159" i="3" s="1"/>
  <c r="D175" i="3"/>
  <c r="D171" i="3"/>
  <c r="E171" i="3" s="1"/>
  <c r="D168" i="3"/>
  <c r="D165" i="3" s="1"/>
  <c r="D179" i="3"/>
  <c r="E179" i="3" s="1"/>
  <c r="D183" i="3"/>
  <c r="E183" i="3" s="1"/>
  <c r="D187" i="3"/>
  <c r="D193" i="3"/>
  <c r="D195" i="3"/>
  <c r="E195" i="3" s="1"/>
  <c r="D204" i="3"/>
  <c r="D200" i="3"/>
  <c r="D214" i="3"/>
  <c r="D210" i="3"/>
  <c r="D224" i="3"/>
  <c r="E224" i="3" s="1"/>
  <c r="D220" i="3"/>
  <c r="E220" i="3" s="1"/>
  <c r="D230" i="3"/>
  <c r="D234" i="3"/>
  <c r="D241" i="3"/>
  <c r="D238" i="3" s="1"/>
  <c r="D247" i="3"/>
  <c r="D244" i="3" s="1"/>
  <c r="E244" i="3" s="1"/>
  <c r="D253" i="3"/>
  <c r="D250" i="3" s="1"/>
  <c r="D259" i="3"/>
  <c r="D256" i="3" s="1"/>
  <c r="E256" i="3" s="1"/>
  <c r="D265" i="3"/>
  <c r="D262" i="3" s="1"/>
  <c r="D271" i="3"/>
  <c r="D268" i="3" s="1"/>
  <c r="E268" i="3" s="1"/>
  <c r="D277" i="3"/>
  <c r="D274" i="3" s="1"/>
  <c r="D284" i="3"/>
  <c r="D282" i="3"/>
  <c r="D289" i="3"/>
  <c r="D291" i="3"/>
  <c r="E291" i="3" s="1"/>
  <c r="D296" i="3"/>
  <c r="D298" i="3"/>
  <c r="D305" i="3"/>
  <c r="D303" i="3"/>
  <c r="E303" i="3" s="1"/>
  <c r="D312" i="3"/>
  <c r="D310" i="3"/>
  <c r="D319" i="3"/>
  <c r="D317" i="3"/>
  <c r="D327" i="3"/>
  <c r="D324" i="3"/>
  <c r="D322" i="3" s="1"/>
  <c r="D61" i="3"/>
  <c r="D51" i="3"/>
  <c r="E51" i="3" s="1"/>
  <c r="D42" i="3"/>
  <c r="D38" i="3"/>
  <c r="D34" i="3"/>
  <c r="D30" i="3"/>
  <c r="D6" i="3"/>
  <c r="D20" i="3" a="1"/>
  <c r="D20" i="3" s="1"/>
  <c r="D26" i="3"/>
  <c r="D11" i="3"/>
  <c r="H66" i="2"/>
  <c r="H48" i="2"/>
  <c r="E210" i="3" l="1"/>
  <c r="AB18" i="3"/>
  <c r="E175" i="3"/>
  <c r="E165" i="3"/>
  <c r="AB17" i="3"/>
  <c r="E200" i="3"/>
  <c r="E20" i="3"/>
  <c r="E187" i="3"/>
  <c r="E128" i="3"/>
  <c r="E80" i="3"/>
  <c r="E319" i="3"/>
  <c r="E305" i="3"/>
  <c r="E30" i="3"/>
  <c r="E42" i="3"/>
  <c r="E296" i="3"/>
  <c r="E234" i="3"/>
  <c r="E282" i="3"/>
  <c r="AB9" i="3"/>
  <c r="AB10" i="3"/>
  <c r="AB16" i="3"/>
  <c r="AB11" i="3"/>
  <c r="E6" i="3"/>
  <c r="E153" i="3"/>
  <c r="AA15" i="3"/>
  <c r="F14" i="1" s="1"/>
  <c r="E141" i="3"/>
  <c r="E298" i="3"/>
  <c r="E238" i="3"/>
  <c r="E322" i="3"/>
  <c r="E11" i="3"/>
  <c r="E274" i="3"/>
  <c r="E214" i="3"/>
  <c r="E262" i="3"/>
  <c r="E250" i="3"/>
  <c r="E34" i="3"/>
  <c r="E95" i="3"/>
  <c r="E193" i="3"/>
  <c r="E121" i="3"/>
  <c r="E284" i="3"/>
  <c r="D102" i="3"/>
  <c r="E102" i="3" s="1"/>
  <c r="AA7" i="3"/>
  <c r="F6" i="1" s="1"/>
  <c r="E310" i="3"/>
  <c r="E38" i="3"/>
  <c r="E230" i="3"/>
  <c r="E61" i="3"/>
  <c r="E259" i="3"/>
  <c r="D315" i="3"/>
  <c r="E315" i="3" s="1"/>
  <c r="E289" i="3"/>
  <c r="E204" i="3"/>
  <c r="E253" i="3"/>
  <c r="E26" i="3"/>
  <c r="E312" i="3"/>
  <c r="E327" i="3"/>
  <c r="D71" i="3"/>
  <c r="E71" i="3" s="1"/>
  <c r="E73" i="3"/>
  <c r="D85" i="3"/>
  <c r="E85" i="3" s="1"/>
  <c r="E87" i="3"/>
  <c r="E104" i="3"/>
  <c r="E138" i="3"/>
  <c r="E144" i="3"/>
  <c r="E150" i="3"/>
  <c r="E156" i="3"/>
  <c r="E162" i="3"/>
  <c r="E168" i="3"/>
  <c r="E241" i="3"/>
  <c r="E247" i="3"/>
  <c r="E265" i="3"/>
  <c r="E271" i="3"/>
  <c r="E277" i="3"/>
  <c r="D301" i="3"/>
  <c r="E301" i="3" s="1"/>
  <c r="E317" i="3"/>
  <c r="E324" i="3"/>
  <c r="D119" i="3"/>
  <c r="E119" i="3" s="1"/>
  <c r="D308" i="3"/>
  <c r="E308" i="3" s="1"/>
  <c r="D198" i="3"/>
  <c r="E198" i="3" s="1"/>
  <c r="D280" i="3"/>
  <c r="E280" i="3" s="1"/>
  <c r="D228" i="3"/>
  <c r="E228" i="3" s="1"/>
  <c r="D218" i="3"/>
  <c r="E218" i="3" s="1"/>
  <c r="D208" i="3"/>
  <c r="E208" i="3" s="1"/>
  <c r="D191" i="3"/>
  <c r="E191" i="3" s="1"/>
  <c r="D287" i="3"/>
  <c r="E287" i="3" s="1"/>
  <c r="D294" i="3"/>
  <c r="E294" i="3" s="1"/>
  <c r="G5" i="1" l="1"/>
  <c r="F23" i="1"/>
  <c r="AA22" i="3"/>
  <c r="AB15" i="3"/>
  <c r="G14" i="1" s="1"/>
  <c r="AB7" i="3"/>
  <c r="G6" i="1" s="1"/>
  <c r="G23" i="1" l="1"/>
  <c r="AB2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<sst xmlns="http://schemas.openxmlformats.org/spreadsheetml/2006/main" count="3002" uniqueCount="312">
  <si>
    <t>GERAL</t>
  </si>
  <si>
    <t>SERVIÇO:</t>
  </si>
  <si>
    <t>Mobilização de equipe e equipamentos</t>
  </si>
  <si>
    <t>ITEM:</t>
  </si>
  <si>
    <t>1.1.1.1.1</t>
  </si>
  <si>
    <t>UNID.:</t>
  </si>
  <si>
    <t>vb</t>
  </si>
  <si>
    <t>ITEM</t>
  </si>
  <si>
    <t>DESCRIÇÃO</t>
  </si>
  <si>
    <t>UNID</t>
  </si>
  <si>
    <t>QUANTIDADE</t>
  </si>
  <si>
    <t>VALOR UNIT.</t>
  </si>
  <si>
    <t>VALOR TOTAL</t>
  </si>
  <si>
    <t>1.0</t>
  </si>
  <si>
    <t>MÃO DE OBRA</t>
  </si>
  <si>
    <t>TOTAL 1.0</t>
  </si>
  <si>
    <t>2.0</t>
  </si>
  <si>
    <t>EQUIPAMENTOS</t>
  </si>
  <si>
    <t>TOTAL 2.0</t>
  </si>
  <si>
    <t>3.0</t>
  </si>
  <si>
    <t>MATERIAIS</t>
  </si>
  <si>
    <t>TOTAL 3.0</t>
  </si>
  <si>
    <t>CUSTO DIRETO (A+B+C)</t>
  </si>
  <si>
    <t>BDI</t>
  </si>
  <si>
    <t>TOTAL GERAL</t>
  </si>
  <si>
    <t>Desmobilização de equipe e equipamentos</t>
  </si>
  <si>
    <t>1.1.1.1.2</t>
  </si>
  <si>
    <t>MOD</t>
  </si>
  <si>
    <t>Mecânico montador</t>
  </si>
  <si>
    <t>h</t>
  </si>
  <si>
    <t>Ajudante de montagem</t>
  </si>
  <si>
    <t>EQUIP</t>
  </si>
  <si>
    <t>REPAROS E IDENIZAÇÕES EM EQUIPAMENTOS DE PEQUENO E MÉDIO PORTE</t>
  </si>
  <si>
    <t>VB</t>
  </si>
  <si>
    <t xml:space="preserve">Exames demissionais </t>
  </si>
  <si>
    <t>MAT/MOD</t>
  </si>
  <si>
    <t>Equipe MOD</t>
  </si>
  <si>
    <t>und</t>
  </si>
  <si>
    <t>Equipe MOI</t>
  </si>
  <si>
    <t>Construção de  Canteiro Completo (Adm, Vestiários, Refeitório, Armazém, etc)</t>
  </si>
  <si>
    <t>1.2.1.1</t>
  </si>
  <si>
    <t>Administração e Manutenção de Canteiro</t>
  </si>
  <si>
    <t>1.2.1.2</t>
  </si>
  <si>
    <t>vb x mês</t>
  </si>
  <si>
    <t>Manutenção de Canteiro</t>
  </si>
  <si>
    <t>Auxiliar de serviços gerais</t>
  </si>
  <si>
    <t>Contêiner Almoxarifado - 6m</t>
  </si>
  <si>
    <t>qnt x mês</t>
  </si>
  <si>
    <t>Contêiner Módulo Habitável Escritório - 6m</t>
  </si>
  <si>
    <t>Contêiner Módulo Habitável Vestiário - 6m</t>
  </si>
  <si>
    <t>Contêiner Módulo Habitável Sanitário com chuveiros - 6m</t>
  </si>
  <si>
    <t>Contêiner Módulo Habitável Sanitário com vasos - 6m</t>
  </si>
  <si>
    <t>Banheiros hidráulicos</t>
  </si>
  <si>
    <t>Limpeza banheiros hidráulicos</t>
  </si>
  <si>
    <t>Caminhão pipa com operador</t>
  </si>
  <si>
    <t>MAT</t>
  </si>
  <si>
    <t>Material de Limpeza e Higienizações - sacos lixo, produto limpeza, sabonete, papel higienico, flanelas, panos, etc</t>
  </si>
  <si>
    <t>mês</t>
  </si>
  <si>
    <t>Material escritório - folhas, grampo, caneta, plásticos, fitas, calculadora, pendrive, pilhas, organizador, clips, prancheta, pastas, etc</t>
  </si>
  <si>
    <t>Impressões ou cópias e plotagens</t>
  </si>
  <si>
    <t>Consumo internet e telefonia</t>
  </si>
  <si>
    <t>Destinação efluentes canteiro de obras</t>
  </si>
  <si>
    <t>Material Copa - água mineral, café, copos, papel toalha, filtro</t>
  </si>
  <si>
    <t>unid</t>
  </si>
  <si>
    <t>Administração Local</t>
  </si>
  <si>
    <t>1.3.1.1</t>
  </si>
  <si>
    <t>Administração local</t>
  </si>
  <si>
    <t>MOI</t>
  </si>
  <si>
    <t>Administrativo</t>
  </si>
  <si>
    <t>Almoxarife</t>
  </si>
  <si>
    <t>Analista de Projeto</t>
  </si>
  <si>
    <t>Auxiliar de Almoxarife</t>
  </si>
  <si>
    <t>Auxiliar de Engenharia</t>
  </si>
  <si>
    <t>Auxiliar de Planejamento</t>
  </si>
  <si>
    <t>Encarregado de Andaime</t>
  </si>
  <si>
    <t>Encarregado de Elétrica</t>
  </si>
  <si>
    <t>Mestre de Montagem</t>
  </si>
  <si>
    <t>Encarregado de Obras Civis</t>
  </si>
  <si>
    <t>Engenheiro de Planejamento</t>
  </si>
  <si>
    <t>Engenheiro de Segurança ou Coordenador de segurança</t>
  </si>
  <si>
    <t>Engenheiro Mecânico</t>
  </si>
  <si>
    <t>Gerente de Contrato</t>
  </si>
  <si>
    <t>Médico do Trabalho ou Tec. De enfermagem (part time)</t>
  </si>
  <si>
    <t>Motorista de veículos leves</t>
  </si>
  <si>
    <t>Supervisor de Montagem</t>
  </si>
  <si>
    <t>Técnico de Medições</t>
  </si>
  <si>
    <t>Técnico de Segurança do Trabalho (campo)</t>
  </si>
  <si>
    <t>Técnico de Segurança do Trabalho (gestão)</t>
  </si>
  <si>
    <t>Técnico de qualidade</t>
  </si>
  <si>
    <t>Técnico em Meio Ambiente</t>
  </si>
  <si>
    <t>Ônibus transporte interno</t>
  </si>
  <si>
    <t>Ônibus viagem extra</t>
  </si>
  <si>
    <t>Veiculo covencionalcom combustível</t>
  </si>
  <si>
    <t>Desmobilização de Canteiro Completo (Adm, Vestiários, Refeitório, Armazém, etc)</t>
  </si>
  <si>
    <t>1.2.1.3</t>
  </si>
  <si>
    <t>Serviços de documentação de obras com time lapse</t>
  </si>
  <si>
    <t>2.1.1.1</t>
  </si>
  <si>
    <t>vbxmês</t>
  </si>
  <si>
    <t>MOT</t>
  </si>
  <si>
    <t>LOCAÇÃO DE EQUIPAMENTOS</t>
  </si>
  <si>
    <t>Elaboração de Projetos Detalhados, vistas, cortes etc. ex. projeto de guarda-corpo e condição insegura.</t>
  </si>
  <si>
    <t>2.1.1.2</t>
  </si>
  <si>
    <t>A1eq.</t>
  </si>
  <si>
    <t>A1 Eq</t>
  </si>
  <si>
    <t>Demolição de concreto armado mecanizado.</t>
  </si>
  <si>
    <t>2.2.1.1.1</t>
  </si>
  <si>
    <t>t</t>
  </si>
  <si>
    <t>MO</t>
  </si>
  <si>
    <t>Oficial polivalente</t>
  </si>
  <si>
    <t>H</t>
  </si>
  <si>
    <t>Auxiliar de obras</t>
  </si>
  <si>
    <t>Sinaleiro</t>
  </si>
  <si>
    <t>SERV</t>
  </si>
  <si>
    <t>Insvetigação</t>
  </si>
  <si>
    <t>Ferramenta de pequeno/médio porte</t>
  </si>
  <si>
    <t>Miniescavadeira com rompedor hidráulico e operador</t>
  </si>
  <si>
    <t>ESCAVADEIRA HIDRÁULICA 21 ton com rompedor</t>
  </si>
  <si>
    <t>Consumíveis para demolição</t>
  </si>
  <si>
    <t>Carga, transporte e descarga de material proveniente de demolições ou desmontes para a área do CMD - Vale. CAÇAMBAS E CAMINHÃO DA CONTRATADA</t>
  </si>
  <si>
    <t>2.2.1.2.1</t>
  </si>
  <si>
    <t>Caminhão basculante com combustível e motorista</t>
  </si>
  <si>
    <t>Retroescavadeira com combustível e Operador</t>
  </si>
  <si>
    <t>Momento extraordinário de transporte de material proveniente de demolições ou desmontes para bota-fora - DMT até 25 km. CAÇAMBAS E CAMINHÃO DA CONTRATADA</t>
  </si>
  <si>
    <t>2.2.1.2.2</t>
  </si>
  <si>
    <t>t x km</t>
  </si>
  <si>
    <t>Destinação final de material de proveniente de demolição, em aterro industrial externo homologado pela Vale</t>
  </si>
  <si>
    <t>2.2.1.2.3</t>
  </si>
  <si>
    <t>T</t>
  </si>
  <si>
    <t xml:space="preserve">CONCRETO NÃO-BOMBEADO EM ESTRUTURA DE FUNDAÇÃO FCK = 30,0 MPa. </t>
  </si>
  <si>
    <t>2.3.1.1.1</t>
  </si>
  <si>
    <t>m³</t>
  </si>
  <si>
    <t>Concreto usinado fck 30MPa</t>
  </si>
  <si>
    <t>m3</t>
  </si>
  <si>
    <t>Controle tecnológico</t>
  </si>
  <si>
    <t>DESMONTAGEM, CARREGAMENTO, SEGREGAÇÃO PREPARAÇÃO E TRANSPORTE ATÉ O CMD VALE DE EQUIPAMENTOS MECÂNICOS - CAÇAMBAS E CAMINHÃO DA CONTRATADA.</t>
  </si>
  <si>
    <t>3.1.1.1</t>
  </si>
  <si>
    <t>Caldeireiro</t>
  </si>
  <si>
    <t>Soldador Chaparia</t>
  </si>
  <si>
    <t>Montador de Andaime</t>
  </si>
  <si>
    <t>Caminhão Munck com combustível e operador</t>
  </si>
  <si>
    <t>Guindaste 30T</t>
  </si>
  <si>
    <t>Coleta caçamba caminhão bruck</t>
  </si>
  <si>
    <t>Carreta 12m com motorista</t>
  </si>
  <si>
    <t>Escavadeira hidráulica com garra sucateira</t>
  </si>
  <si>
    <t>Escavadeira com Tesoura Hidráulica</t>
  </si>
  <si>
    <t>Consumíveis &lt;ferramental&gt;</t>
  </si>
  <si>
    <t>Locação cilindros oxigênio/acetileno</t>
  </si>
  <si>
    <t>Consumo oxigênio</t>
  </si>
  <si>
    <t>Consumo acetileno</t>
  </si>
  <si>
    <t>kg</t>
  </si>
  <si>
    <t>Material de Andaimes</t>
  </si>
  <si>
    <t>Locação caçambas estacionárias</t>
  </si>
  <si>
    <t>Drenagem de óleo e graxa dos equipamentos a serem desmobilizados conforme PRO-022144</t>
  </si>
  <si>
    <t>3.1.1.2</t>
  </si>
  <si>
    <t>Litros</t>
  </si>
  <si>
    <t>MECÂNICO LUBRIFICADOR</t>
  </si>
  <si>
    <t>AJUDANTE DE MONTAGEM</t>
  </si>
  <si>
    <t>EQUI</t>
  </si>
  <si>
    <t>BOMBA DE SUCÇÃO</t>
  </si>
  <si>
    <t>TAMBOR DE AMARZENAMENTO</t>
  </si>
  <si>
    <t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CAÇAMBAS E CAMINHÃO DA VALE.</t>
  </si>
  <si>
    <t>3.2.1.1.1</t>
  </si>
  <si>
    <t>Guindaste 160t</t>
  </si>
  <si>
    <t>Equipamento desmontagem</t>
  </si>
  <si>
    <t>LIMPEZA E REMOÇÃO DE MATERIAIS EM EQUIPAMENTOS MECÂNICOS SEGREGAÇÃO E PREPACÃO DENTRO DAS CAÇAMBAS, TRANSPORTE ATÉ O CMD PARA PESAGEM E EMISSÃO DE TICKET E TRANSPORTE ATÉ PÁTIO DE MINÉRIOS INTERNO VALE (TUBARÃO) PARA DESCARREGAMENTO  - CAÇAMBAS E CAMINHÃO DA CONTRATADA.</t>
  </si>
  <si>
    <t>3.3.1.1.1</t>
  </si>
  <si>
    <t>Aux. de Meio Ambiente</t>
  </si>
  <si>
    <t>DESMONTAGEM E/OU CARREGAMENTO, SEGREGAÇÃO E PREPARAÇÃO DENTRO DAS CAÇAMBAS DE PAINEIS, CAIXAS DE COMANDO LOCAL, CAIXAS DE INTERLIGAÇÃO, LEITOS, ELETRODUTOS, CONTROLE E INSTRUMENTAÇÃO, REMOTAS, MOTORES. CAÇAMBAS E CAMINHÃO DA CONTRATADA.</t>
  </si>
  <si>
    <t>3.4.1.1</t>
  </si>
  <si>
    <t>Eletricista de força e controle</t>
  </si>
  <si>
    <t>AJUDANTE ELETRICISTA</t>
  </si>
  <si>
    <t>DESMONTAGEM E/OU CARREGAMENTO, SEGREGAÇÃO E TRANSPORTE PARA DESCARTE DE REOSTATOS LÍQUIDOS E MOTORES DE MÉDIA TENSÃO. CAÇAMBAS E CAMINHÃO DA CONTRATADA.</t>
  </si>
  <si>
    <t>3.4.1.2</t>
  </si>
  <si>
    <t>DESMONTAGEM E/OU CARREGAMENTO, SEGREGAÇÃO E TRANSPORTE PARA DESCARTE DE CABOS ELÉTRICOS TODAS BITOLAS.  CAÇAMBAS E CAMINHÃO DA CONTRATADA.</t>
  </si>
  <si>
    <t>3.4.1.3</t>
  </si>
  <si>
    <t>Relocação de interferências - Ar Comprimido - diâmetro até 4"</t>
  </si>
  <si>
    <t>3.5.1.1</t>
  </si>
  <si>
    <t>m</t>
  </si>
  <si>
    <t>Encanador Industrial</t>
  </si>
  <si>
    <t>Ajudante de Montagem</t>
  </si>
  <si>
    <t>Pintor Industrial</t>
  </si>
  <si>
    <t>Soldador TIG</t>
  </si>
  <si>
    <t>Material de andaimes</t>
  </si>
  <si>
    <t>Consumíveis de instalação</t>
  </si>
  <si>
    <t>Relocação de interferências - Ar Comprimido - diâmetro maior 4" até 8"</t>
  </si>
  <si>
    <t>3.5.1.2</t>
  </si>
  <si>
    <t>Relocação de interferências - Água - diâmetro até 6"</t>
  </si>
  <si>
    <t>3.5.1.3</t>
  </si>
  <si>
    <t>Relocação de interferências - Água - diâmetro maior 6" até 8"</t>
  </si>
  <si>
    <t>3.5.1.4</t>
  </si>
  <si>
    <t>Relocação de interferências - Água - diâmetro maior 8" até 10"</t>
  </si>
  <si>
    <t>3.5.1.5</t>
  </si>
  <si>
    <t>Relocação de interferências - Água - diâmetro maior 10" até 12"</t>
  </si>
  <si>
    <t>3.5.1.6</t>
  </si>
  <si>
    <t>Relocação de interferências - Elétrica cabos até 25 mm² (incluindo eletroduto, bandejamento, eletrocalha e conduletes)</t>
  </si>
  <si>
    <t>3.5.1.7</t>
  </si>
  <si>
    <t>Eletricista de Força e Controle</t>
  </si>
  <si>
    <t>Elétrica cabos até 25 mm² (incluindo eletroduto, bandejamento, eletrocalha e conduletes)</t>
  </si>
  <si>
    <t>M</t>
  </si>
  <si>
    <t>Relocação de interferências - Elétrica cabos até 10 mm²</t>
  </si>
  <si>
    <t>3.5.1.8</t>
  </si>
  <si>
    <t>Relocação de interferências - Automação - Fibra Optica</t>
  </si>
  <si>
    <t>3.5.1.9</t>
  </si>
  <si>
    <t>Fusão em cabo de fibra optica</t>
  </si>
  <si>
    <t>3.5.1.10</t>
  </si>
  <si>
    <t>UNID.</t>
  </si>
  <si>
    <t>Atividade</t>
  </si>
  <si>
    <t xml:space="preserve"> Relocação de interferências - Eletrocalhas 200 x 75 mm galvanizada a fogo</t>
  </si>
  <si>
    <t>3.5.1.11</t>
  </si>
  <si>
    <t>Relocação de Guarda-corpos provenientes de desemontagem que seriam descartadados para corrigir condição insegura.</t>
  </si>
  <si>
    <t>3.5.1.12</t>
  </si>
  <si>
    <t>DESMONTAGEM E/OU CARREGAMENTO, SEGREGAÇÃO E PREPARAÇÃO DENTRO DAS CAÇAMBAS DE TELHAS FIBRICIMENTO. CAÇAMBAS E CAMINHÃO DA CONTRATADA.</t>
  </si>
  <si>
    <t>3.6.1.1</t>
  </si>
  <si>
    <t>DESMONTAGEM E/OU CARREGAMENTO, SEGREGAÇÃO E PREPARAÇÃO DENTRO DAS CAÇAMBAS DE MATERIAL PLASTICOS. CAÇAMBAS E CAMINHÃO DA CONTRATADA.</t>
  </si>
  <si>
    <t>3.6.1.2</t>
  </si>
  <si>
    <t>DESMONTAGEM E/OU CARREGAMENTO, SEGREGAÇÃO E PREPARAÇÃO DENTRO DAS CAÇAMBAS DE MATERIAL EM BORRACHA. CAÇAMBAS E CAMINHÃO DA CONTRATADA.</t>
  </si>
  <si>
    <t>3.6.1.3</t>
  </si>
  <si>
    <t>DESMONTAGEM E/OU CARREGAMENTO, SEGREGAÇÃO E PREPARAÇÃO DENTRO DAS CAÇAMBAS DE MATERIAL EM MADEIRA. CAÇAMBAS E CAMINHÃO DA CONTRATADA.</t>
  </si>
  <si>
    <t>3.6.1.4</t>
  </si>
  <si>
    <t>Fornecimento de tubo de Aço Carbono ASTM A 53 Gr B-S, SCH.STD. WT, C /Extr. para Solda de Topo - Ar Comprimido - diâmetro até 4" para retiradas de interferências incluído conexões, suportes, válvulas etc.</t>
  </si>
  <si>
    <t>4.1.1.1.1</t>
  </si>
  <si>
    <t xml:space="preserve">Fornecimento de tubo de Aço Carbono ASTM A 53 Gr B-S, SCH.STD. WT, C /Extr. para Solda de Topo - Ar Comprimido - diâmetro até 4" </t>
  </si>
  <si>
    <t>Conexões (redução / junta / flange e curvas)</t>
  </si>
  <si>
    <t>Fornecimento de tubo de Aço Carbono ASTM A 53 Gr B-S, SCH.STD. WT, C /Extr. para Solda de Topo - Ar Comprimido - diâmetro maior que 4" até 8" para retiradas de interferências incluído conexões, suportes, válvulas etc.</t>
  </si>
  <si>
    <t>4.1.1.1.2</t>
  </si>
  <si>
    <t>Fornecimento de tubo de Aço Carbono ASTM A 53 Gr B-S, SCH.STD. WT, C /Extr. para Solda de Topo - Ar Comprimido - diâmetro maior que 4" até 8"</t>
  </si>
  <si>
    <t>Fornecimento de tubo de Aço Carbono ASTM A 53 Gr B-S, SCH.STD. WT, C /Extr. para Solda de Topo - Água - diâmetro até 6" para retiradas de interferências incluído conexões, suportes, válvulas etc.</t>
  </si>
  <si>
    <t>4.1.1.1.3</t>
  </si>
  <si>
    <t xml:space="preserve">Fornecimento de tubo de Aço Carbono ASTM A 53 Gr B-S, SCH.STD. WT, C /Extr. para Solda de Topo - Água - diâmetro até 6" </t>
  </si>
  <si>
    <t>Fornecimento de tubo de Aço Carbono ASTM A 53 Gr B-S, SCH.STD. WT, C /Extr. para Solda de Topo - Água - diâmetro maior que 6" até 8" para retiradas de interferências incluído conexões, suportes, válvulas etc.</t>
  </si>
  <si>
    <t>4.1.1.1.4</t>
  </si>
  <si>
    <t>Fornecimento de tubo de Aço Carbono ASTM A 53 Gr B-S, SCH.STD. WT, C /Extr. para Solda de Topo - Água - diâmetro maior que 6" até 8"</t>
  </si>
  <si>
    <t>Fornecimento de tubode Aço Carbono ASTM A 53 Gr B-S, SCH.STD. WT, C /Extr. para Solda de Topo  - Água - diâmetro maior que 8" até 10" para retiradas de interferências incluído conexões, suportes, válvulas etc.</t>
  </si>
  <si>
    <t>4.1.1.1.5</t>
  </si>
  <si>
    <t>Fornecimento de tubode Aço Carbono ASTM A 53 Gr B-S, SCH.STD. WT, C /Extr. para Solda de Topo  - Água - diâmetro maior que 8" até 10"</t>
  </si>
  <si>
    <t>Fornecimento de tubode Aço Carbono ASTM A 53 Gr B-S, SCH.STD. WT, C /Extr. para Solda de Topo  - Água - diâmetro maior que 10" até 12" para retiradas de interferências incluído conexões, suportes, válvulas etc.</t>
  </si>
  <si>
    <t>4.1.1.1.6</t>
  </si>
  <si>
    <t xml:space="preserve">Fornecimento de tubode Aço Carbono ASTM A 53 Gr B-S, SCH.STD. WT, C /Extr. para Solda de Topo  - Água - diâmetro maior que 10" até 12" </t>
  </si>
  <si>
    <t>FABRICAÇÃO E FORNECIMENTO DE ESTRUTURAS METÁLICAS - GUARDA-CORPOS E CONDIÇÕES INSEGURAS- Conforme padrão Vale.</t>
  </si>
  <si>
    <t>4.2.1.1.1</t>
  </si>
  <si>
    <t>GUARDA-CORPO E CORRIMÃO, INCLUINDO PINTURA DE FUNDO E ACABAMENTO</t>
  </si>
  <si>
    <t>Miscelâneas (acessórios, chumbador / parafusos)</t>
  </si>
  <si>
    <t>MONTAGEM de tubo de Aço Carbono ASTM A 53 Gr B-S, SCH.STD. WT, C /Extr. para Solda de Topo - Ar Comprimido - diâmetro até 4" para retiradas de interferências incluído conexões, suportes, válvulas etc.</t>
  </si>
  <si>
    <t>5.1.1.1.1</t>
  </si>
  <si>
    <t>MONTAGEM de tubo de Aço Carbono ASTM A 53 Gr B-S, SCH.STD. WT, C /Extr. para Solda de Topo - Ar Comprimido - diâmetro maior que 4" até 8" para retiradas de interferências incluído conexões, suportes, válvulas etc.</t>
  </si>
  <si>
    <t>5.1.1.1.2</t>
  </si>
  <si>
    <t>MONTAGEM de tubo de Aço Carbono ASTM A 53 Gr B-S, SCH.STD. WT, C /Extr. para Solda de Topo - Água - diâmetro até 6" para retiradas de interferências incluído conexões, suportes, válvulas etc.</t>
  </si>
  <si>
    <t>5.1.1.1.3</t>
  </si>
  <si>
    <t>MONTAGEM de tubo de Aço Carbono ASTM A 53 Gr B-S, SCH.STD. WT, C /Extr. para Solda de Topo - Água - diâmetro maior que 6" até 8" para retiradas de interferências incluído conexões, suportes, válvulas etc.</t>
  </si>
  <si>
    <t>5.1.1.1.4</t>
  </si>
  <si>
    <t>MONTAGEM de tubode Aço Carbono ASTM A 53 Gr B-S, SCH.STD. WT, C /Extr. para Solda de Topo  - Água - diâmetro maior que 8" até 10" para retiradas de interferências incluído conexões, suportes, válvulas etc.</t>
  </si>
  <si>
    <t>5.1.1.1.5</t>
  </si>
  <si>
    <t>MONTAGEM de tubode Aço Carbono ASTM A 53 Gr B-S, SCH.STD. WT, C /Extr. para Solda de Topo  - Água - diâmetro maior que 10" até 12" para retiradas de interferências incluído conexões, suportes, válvulas etc.</t>
  </si>
  <si>
    <t>5.1.1.1.6</t>
  </si>
  <si>
    <t>MONTAGEM DE ESTRUTURAS METÁLICAS - GUARDA-CORPOS E CONDIÇÕES INSEGURAS</t>
  </si>
  <si>
    <t>5.2.1.1.1</t>
  </si>
  <si>
    <t>Soldador chaparia</t>
  </si>
  <si>
    <t>Dados JL</t>
  </si>
  <si>
    <t>Mês</t>
  </si>
  <si>
    <t>Itens</t>
  </si>
  <si>
    <t>Descrição</t>
  </si>
  <si>
    <t>Sub-Grupo</t>
  </si>
  <si>
    <t>Total previsto</t>
  </si>
  <si>
    <t>Total real</t>
  </si>
  <si>
    <t>Total Custo</t>
  </si>
  <si>
    <t>-</t>
  </si>
  <si>
    <t>Mão de Obra</t>
  </si>
  <si>
    <t>Equipe MOD | Equipe MOI</t>
  </si>
  <si>
    <t xml:space="preserve">Contêines </t>
  </si>
  <si>
    <t xml:space="preserve">Contêiner </t>
  </si>
  <si>
    <t>Banheiro</t>
  </si>
  <si>
    <t>Maquinas Pesadas</t>
  </si>
  <si>
    <t>Outros</t>
  </si>
  <si>
    <t>Onibus</t>
  </si>
  <si>
    <t>Carro Leves</t>
  </si>
  <si>
    <t>Locação de Equipamento</t>
  </si>
  <si>
    <t>Materiais</t>
  </si>
  <si>
    <t>Concreto/ controle tecnico</t>
  </si>
  <si>
    <t>Munck</t>
  </si>
  <si>
    <t>Guindastes</t>
  </si>
  <si>
    <t>Consumíveis &lt;ferramental&gt; | Consumo oxigênio |Consumo acetileno</t>
  </si>
  <si>
    <t>Consumiveis</t>
  </si>
  <si>
    <t>Locação cilindros oxigênio/acetileno | Locação caçambas estacionárias</t>
  </si>
  <si>
    <t>Locação</t>
  </si>
  <si>
    <t>Escavadeira com Tesoura Hidráulica | Escavadeira hidráulica com garra sucateira</t>
  </si>
  <si>
    <t>Mâo de Obra</t>
  </si>
  <si>
    <t>Equipamentos</t>
  </si>
  <si>
    <t>Andaime</t>
  </si>
  <si>
    <t>6.1.1</t>
  </si>
  <si>
    <t>Serviços extraordinários diversos com utilização de mão de obra e equipamentos</t>
  </si>
  <si>
    <t>Consumo</t>
  </si>
  <si>
    <t>Caçambas</t>
  </si>
  <si>
    <t>Ferramental</t>
  </si>
  <si>
    <t>Mão De Obra</t>
  </si>
  <si>
    <t>Guindaste</t>
  </si>
  <si>
    <t>Dashboard de Custos</t>
  </si>
  <si>
    <t>Valor total</t>
  </si>
  <si>
    <t>Valor Atual</t>
  </si>
  <si>
    <t>Discrição</t>
  </si>
  <si>
    <t>Subiten</t>
  </si>
  <si>
    <t>Equipamento</t>
  </si>
  <si>
    <t>Maquinas pesadas</t>
  </si>
  <si>
    <t>materiais</t>
  </si>
  <si>
    <t>Andamei</t>
  </si>
  <si>
    <t>Caçamba</t>
  </si>
  <si>
    <t>Conteiner</t>
  </si>
  <si>
    <t>Carros Leve</t>
  </si>
  <si>
    <t>Valor Total Previsto</t>
  </si>
  <si>
    <t>Valor Real</t>
  </si>
  <si>
    <t>Total</t>
  </si>
  <si>
    <t>total</t>
  </si>
  <si>
    <r>
      <t xml:space="preserve"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</t>
    </r>
    <r>
      <rPr>
        <b/>
        <sz val="12"/>
        <color theme="1"/>
        <rFont val="Arial"/>
        <family val="2"/>
      </rPr>
      <t>CAÇAMBAS E CAMINHÃO DA VALE</t>
    </r>
    <r>
      <rPr>
        <b/>
        <sz val="12"/>
        <color rgb="FFFF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</si>
</sst>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_-* #,##0.000_-;\-* #,##0.000_-;_-* &quot;-&quot;??.0_-;_-@_-"/>
    <numFmt numFmtId="167" formatCode="0.000_ "/>
    <numFmt numFmtId="168" formatCode="0.0000_ "/>
    <numFmt numFmtId="169" formatCode="&quot;R$&quot;\ #,##0.00"/>
    <numFmt numFmtId="170" formatCode="00"/>
    <numFmt numFmtId="171" formatCode="_([$R$ -416]* #,##0.00_);_([$R$ -416]* \(#,##0.00\);_([$R$ -416]* &quot;-&quot;??_);_(@_)"/>
    <numFmt numFmtId="172" formatCode="_-[$R$-416]\ * #,##0.00_-;\-[$R$-416]\ * #,##0.00_-;_-[$R$-416]\ 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Helvetica Neue"/>
      <charset val="134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1"/>
      <name val="Calibri"/>
      <family val="2"/>
    </font>
    <font>
      <sz val="1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8">
    <xf numFmtId="0" fontId="0" fillId="0" borderId="0"/>
    <xf numFmtId="0" fontId="2" fillId="0" borderId="0" applyNumberFormat="0" applyFill="0" applyBorder="0" applyProtection="0">
      <alignment vertical="top" wrapText="1"/>
    </xf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71" fontId="10" fillId="0" borderId="0"/>
    <xf numFmtId="0" fontId="1" fillId="0" borderId="0"/>
    <xf numFmtId="0" fontId="1" fillId="0" borderId="0"/>
    <xf numFmtId="0" fontId="6" fillId="0" borderId="0"/>
    <xf numFmtId="0" fontId="6" fillId="0" borderId="0"/>
    <xf numFmtId="44" fontId="1" fillId="0" borderId="0" applyFont="0" applyFill="0" applyBorder="0" applyAlignment="0" applyProtection="0"/>
  </cellStyleXfs>
  <cellXfs count="221">
    <xf numFmtId="0" fontId="0" fillId="0" borderId="0" xfId="0"/>
    <xf numFmtId="0" fontId="3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0" fillId="3" borderId="0" xfId="0" applyFill="1"/>
    <xf numFmtId="0" fontId="5" fillId="4" borderId="3" xfId="1" applyFont="1" applyFill="1" applyBorder="1" applyAlignment="1">
      <alignment vertical="center"/>
    </xf>
    <xf numFmtId="0" fontId="5" fillId="4" borderId="4" xfId="1" applyFont="1" applyFill="1" applyBorder="1" applyAlignment="1">
      <alignment vertical="center" wrapText="1"/>
    </xf>
    <xf numFmtId="165" fontId="5" fillId="4" borderId="4" xfId="2" applyNumberFormat="1" applyFont="1" applyFill="1" applyBorder="1" applyAlignment="1">
      <alignment horizontal="right" vertical="center"/>
    </xf>
    <xf numFmtId="43" fontId="5" fillId="4" borderId="4" xfId="3" applyFont="1" applyFill="1" applyBorder="1" applyAlignment="1">
      <alignment vertical="center"/>
    </xf>
    <xf numFmtId="43" fontId="5" fillId="4" borderId="5" xfId="3" applyFont="1" applyFill="1" applyBorder="1" applyAlignment="1">
      <alignment vertical="center"/>
    </xf>
    <xf numFmtId="0" fontId="5" fillId="4" borderId="6" xfId="1" applyFont="1" applyFill="1" applyBorder="1" applyAlignment="1">
      <alignment vertical="center"/>
    </xf>
    <xf numFmtId="49" fontId="5" fillId="4" borderId="0" xfId="1" applyNumberFormat="1" applyFont="1" applyFill="1" applyBorder="1" applyAlignment="1">
      <alignment horizontal="left" vertical="center" wrapText="1"/>
    </xf>
    <xf numFmtId="0" fontId="5" fillId="4" borderId="0" xfId="1" applyFont="1" applyFill="1" applyBorder="1" applyAlignment="1">
      <alignment vertical="center" wrapText="1"/>
    </xf>
    <xf numFmtId="165" fontId="5" fillId="4" borderId="0" xfId="2" applyNumberFormat="1" applyFont="1" applyFill="1" applyBorder="1" applyAlignment="1">
      <alignment horizontal="right" vertical="center"/>
    </xf>
    <xf numFmtId="14" fontId="7" fillId="4" borderId="7" xfId="1" applyNumberFormat="1" applyFont="1" applyFill="1" applyBorder="1" applyAlignment="1">
      <alignment horizontal="center" vertical="center"/>
    </xf>
    <xf numFmtId="43" fontId="7" fillId="4" borderId="8" xfId="1" applyNumberFormat="1" applyFont="1" applyFill="1" applyBorder="1" applyAlignment="1">
      <alignment vertical="center"/>
    </xf>
    <xf numFmtId="0" fontId="7" fillId="5" borderId="9" xfId="1" applyFont="1" applyFill="1" applyBorder="1" applyAlignment="1">
      <alignment vertical="center"/>
    </xf>
    <xf numFmtId="165" fontId="7" fillId="5" borderId="9" xfId="2" applyNumberFormat="1" applyFont="1" applyFill="1" applyBorder="1" applyAlignment="1">
      <alignment vertical="center"/>
    </xf>
    <xf numFmtId="0" fontId="7" fillId="5" borderId="9" xfId="1" applyFont="1" applyFill="1" applyBorder="1" applyAlignment="1"/>
    <xf numFmtId="43" fontId="7" fillId="5" borderId="9" xfId="3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vertical="center"/>
    </xf>
    <xf numFmtId="0" fontId="8" fillId="0" borderId="11" xfId="1" applyFont="1" applyFill="1" applyBorder="1" applyAlignment="1">
      <alignment horizontal="center" vertical="center"/>
    </xf>
    <xf numFmtId="165" fontId="8" fillId="0" borderId="12" xfId="2" applyNumberFormat="1" applyFont="1" applyFill="1" applyBorder="1" applyAlignment="1">
      <alignment horizontal="center" vertical="center"/>
    </xf>
    <xf numFmtId="43" fontId="7" fillId="0" borderId="12" xfId="3" applyFont="1" applyFill="1" applyBorder="1" applyAlignment="1">
      <alignment horizontal="center" vertical="center"/>
    </xf>
    <xf numFmtId="43" fontId="7" fillId="0" borderId="11" xfId="3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vertical="center"/>
    </xf>
    <xf numFmtId="0" fontId="8" fillId="0" borderId="12" xfId="1" applyFont="1" applyFill="1" applyBorder="1" applyAlignment="1">
      <alignment horizontal="center" vertical="center"/>
    </xf>
    <xf numFmtId="43" fontId="9" fillId="0" borderId="12" xfId="3" applyFont="1" applyFill="1" applyBorder="1" applyAlignment="1">
      <alignment horizontal="center" vertical="center"/>
    </xf>
    <xf numFmtId="43" fontId="8" fillId="0" borderId="11" xfId="3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left" vertical="center"/>
    </xf>
    <xf numFmtId="165" fontId="8" fillId="0" borderId="10" xfId="2" applyNumberFormat="1" applyFont="1" applyFill="1" applyBorder="1" applyAlignment="1">
      <alignment horizontal="center" vertical="center"/>
    </xf>
    <xf numFmtId="43" fontId="8" fillId="0" borderId="12" xfId="3" applyFont="1" applyFill="1" applyBorder="1" applyAlignment="1">
      <alignment horizontal="center" vertical="center"/>
    </xf>
    <xf numFmtId="0" fontId="7" fillId="6" borderId="9" xfId="1" applyFont="1" applyFill="1" applyBorder="1" applyAlignment="1">
      <alignment vertical="center"/>
    </xf>
    <xf numFmtId="165" fontId="7" fillId="6" borderId="9" xfId="2" applyNumberFormat="1" applyFont="1" applyFill="1" applyBorder="1" applyAlignment="1">
      <alignment vertical="center"/>
    </xf>
    <xf numFmtId="43" fontId="7" fillId="0" borderId="9" xfId="3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vertical="center"/>
    </xf>
    <xf numFmtId="0" fontId="8" fillId="0" borderId="13" xfId="1" applyFont="1" applyFill="1" applyBorder="1" applyAlignment="1">
      <alignment horizontal="center" vertical="center"/>
    </xf>
    <xf numFmtId="165" fontId="8" fillId="0" borderId="13" xfId="2" applyNumberFormat="1" applyFont="1" applyFill="1" applyBorder="1" applyAlignment="1">
      <alignment vertical="center"/>
    </xf>
    <xf numFmtId="43" fontId="8" fillId="0" borderId="13" xfId="3" applyFont="1" applyFill="1" applyBorder="1" applyAlignment="1">
      <alignment vertical="center"/>
    </xf>
    <xf numFmtId="0" fontId="8" fillId="0" borderId="11" xfId="1" applyFont="1" applyFill="1" applyBorder="1" applyAlignment="1">
      <alignment vertical="center" wrapText="1"/>
    </xf>
    <xf numFmtId="165" fontId="8" fillId="0" borderId="12" xfId="4" applyNumberFormat="1" applyFont="1" applyFill="1" applyBorder="1" applyAlignment="1">
      <alignment horizontal="right" vertical="center"/>
    </xf>
    <xf numFmtId="43" fontId="8" fillId="0" borderId="10" xfId="3" applyFont="1" applyFill="1" applyBorder="1" applyAlignment="1">
      <alignment horizontal="center" vertical="center"/>
    </xf>
    <xf numFmtId="43" fontId="9" fillId="0" borderId="11" xfId="3" applyFont="1" applyFill="1" applyBorder="1" applyAlignment="1">
      <alignment horizontal="center" vertical="center"/>
    </xf>
    <xf numFmtId="165" fontId="8" fillId="0" borderId="13" xfId="2" applyNumberFormat="1" applyFont="1" applyFill="1" applyBorder="1" applyAlignment="1">
      <alignment horizontal="center" vertical="center"/>
    </xf>
    <xf numFmtId="43" fontId="8" fillId="0" borderId="13" xfId="3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vertical="center"/>
    </xf>
    <xf numFmtId="0" fontId="11" fillId="5" borderId="14" xfId="1" applyFont="1" applyFill="1" applyBorder="1" applyAlignment="1">
      <alignment vertical="center"/>
    </xf>
    <xf numFmtId="0" fontId="11" fillId="5" borderId="1" xfId="1" applyFont="1" applyFill="1" applyBorder="1" applyAlignment="1">
      <alignment vertical="center"/>
    </xf>
    <xf numFmtId="165" fontId="11" fillId="5" borderId="1" xfId="2" applyNumberFormat="1" applyFont="1" applyFill="1" applyBorder="1" applyAlignment="1">
      <alignment vertical="center"/>
    </xf>
    <xf numFmtId="0" fontId="11" fillId="5" borderId="2" xfId="1" applyFont="1" applyFill="1" applyBorder="1" applyAlignment="1">
      <alignment vertical="center"/>
    </xf>
    <xf numFmtId="164" fontId="7" fillId="0" borderId="9" xfId="2" applyFont="1" applyFill="1" applyBorder="1" applyAlignment="1">
      <alignment horizontal="right" vertical="center"/>
    </xf>
    <xf numFmtId="0" fontId="8" fillId="0" borderId="11" xfId="5" applyFont="1" applyBorder="1" applyAlignment="1">
      <alignment vertical="center"/>
    </xf>
    <xf numFmtId="164" fontId="8" fillId="0" borderId="12" xfId="4" applyFont="1" applyFill="1" applyBorder="1" applyAlignment="1">
      <alignment horizontal="right" vertical="center"/>
    </xf>
    <xf numFmtId="0" fontId="9" fillId="0" borderId="11" xfId="1" applyFont="1" applyFill="1" applyBorder="1" applyAlignment="1">
      <alignment vertical="center" wrapText="1"/>
    </xf>
    <xf numFmtId="165" fontId="8" fillId="0" borderId="15" xfId="2" applyNumberFormat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vertical="center"/>
    </xf>
    <xf numFmtId="165" fontId="8" fillId="3" borderId="10" xfId="2" applyNumberFormat="1" applyFont="1" applyFill="1" applyBorder="1" applyAlignment="1">
      <alignment horizontal="center" vertical="center"/>
    </xf>
    <xf numFmtId="43" fontId="9" fillId="3" borderId="12" xfId="3" applyFont="1" applyFill="1" applyBorder="1" applyAlignment="1">
      <alignment horizontal="center" vertical="center"/>
    </xf>
    <xf numFmtId="43" fontId="8" fillId="3" borderId="11" xfId="3" applyFont="1" applyFill="1" applyBorder="1" applyAlignment="1">
      <alignment horizontal="center" vertical="center"/>
    </xf>
    <xf numFmtId="165" fontId="8" fillId="0" borderId="11" xfId="2" applyNumberFormat="1" applyFont="1" applyFill="1" applyBorder="1" applyAlignment="1">
      <alignment horizontal="center" vertical="center"/>
    </xf>
    <xf numFmtId="43" fontId="8" fillId="7" borderId="12" xfId="3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vertical="center"/>
    </xf>
    <xf numFmtId="0" fontId="9" fillId="3" borderId="11" xfId="1" applyFont="1" applyFill="1" applyBorder="1" applyAlignment="1">
      <alignment vertical="center"/>
    </xf>
    <xf numFmtId="165" fontId="8" fillId="3" borderId="12" xfId="2" applyNumberFormat="1" applyFont="1" applyFill="1" applyBorder="1" applyAlignment="1">
      <alignment horizontal="center" vertical="center"/>
    </xf>
    <xf numFmtId="43" fontId="8" fillId="3" borderId="10" xfId="3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vertical="center" wrapText="1"/>
    </xf>
    <xf numFmtId="0" fontId="8" fillId="3" borderId="12" xfId="1" quotePrefix="1" applyFont="1" applyFill="1" applyBorder="1" applyAlignment="1">
      <alignment vertical="center"/>
    </xf>
    <xf numFmtId="43" fontId="8" fillId="0" borderId="11" xfId="6" applyFont="1" applyFill="1" applyBorder="1" applyAlignment="1">
      <alignment horizontal="center" vertical="center"/>
    </xf>
    <xf numFmtId="165" fontId="8" fillId="0" borderId="12" xfId="7" applyNumberFormat="1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7" fillId="6" borderId="9" xfId="2" applyFont="1" applyFill="1" applyBorder="1" applyAlignment="1">
      <alignment vertical="center"/>
    </xf>
    <xf numFmtId="164" fontId="8" fillId="0" borderId="13" xfId="2" applyFont="1" applyFill="1" applyBorder="1" applyAlignment="1">
      <alignment vertical="center"/>
    </xf>
    <xf numFmtId="0" fontId="9" fillId="0" borderId="11" xfId="1" applyNumberFormat="1" applyFont="1" applyFill="1" applyBorder="1" applyAlignment="1">
      <alignment vertical="center"/>
    </xf>
    <xf numFmtId="164" fontId="8" fillId="3" borderId="12" xfId="2" applyFont="1" applyFill="1" applyBorder="1" applyAlignment="1">
      <alignment horizontal="center" vertical="center"/>
    </xf>
    <xf numFmtId="164" fontId="8" fillId="0" borderId="12" xfId="2" applyFont="1" applyFill="1" applyBorder="1" applyAlignment="1">
      <alignment horizontal="center" vertical="center"/>
    </xf>
    <xf numFmtId="164" fontId="8" fillId="0" borderId="13" xfId="2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165" fontId="9" fillId="0" borderId="12" xfId="4" applyNumberFormat="1" applyFont="1" applyFill="1" applyBorder="1" applyAlignment="1">
      <alignment horizontal="right" vertical="center"/>
    </xf>
    <xf numFmtId="0" fontId="8" fillId="0" borderId="11" xfId="1" applyNumberFormat="1" applyFont="1" applyFill="1" applyBorder="1" applyAlignment="1">
      <alignment vertical="center"/>
    </xf>
    <xf numFmtId="0" fontId="11" fillId="3" borderId="0" xfId="1" applyFont="1" applyFill="1" applyBorder="1" applyAlignment="1">
      <alignment vertical="center"/>
    </xf>
    <xf numFmtId="165" fontId="11" fillId="3" borderId="0" xfId="2" applyNumberFormat="1" applyFont="1" applyFill="1" applyBorder="1" applyAlignment="1">
      <alignment vertical="center"/>
    </xf>
    <xf numFmtId="43" fontId="7" fillId="3" borderId="0" xfId="3" applyFont="1" applyFill="1" applyBorder="1" applyAlignment="1">
      <alignment horizontal="center" vertical="center"/>
    </xf>
    <xf numFmtId="166" fontId="8" fillId="0" borderId="12" xfId="4" applyNumberFormat="1" applyFont="1" applyFill="1" applyBorder="1" applyAlignment="1">
      <alignment horizontal="right" vertical="center"/>
    </xf>
    <xf numFmtId="0" fontId="8" fillId="0" borderId="11" xfId="1" quotePrefix="1" applyFont="1" applyFill="1" applyBorder="1" applyAlignment="1">
      <alignment horizontal="center" vertical="center"/>
    </xf>
    <xf numFmtId="0" fontId="8" fillId="0" borderId="15" xfId="1" applyFont="1" applyFill="1" applyBorder="1" applyAlignment="1">
      <alignment vertical="center"/>
    </xf>
    <xf numFmtId="0" fontId="8" fillId="0" borderId="15" xfId="1" applyFont="1" applyFill="1" applyBorder="1" applyAlignment="1">
      <alignment horizontal="center" vertical="center"/>
    </xf>
    <xf numFmtId="43" fontId="8" fillId="0" borderId="15" xfId="3" applyFont="1" applyFill="1" applyBorder="1" applyAlignment="1">
      <alignment horizontal="center" vertical="center"/>
    </xf>
    <xf numFmtId="0" fontId="8" fillId="0" borderId="12" xfId="1" applyNumberFormat="1" applyFont="1" applyFill="1" applyBorder="1" applyAlignment="1">
      <alignment vertical="center"/>
    </xf>
    <xf numFmtId="167" fontId="8" fillId="0" borderId="12" xfId="2" applyNumberFormat="1" applyFont="1" applyFill="1" applyBorder="1" applyAlignment="1">
      <alignment horizontal="right" vertical="center"/>
    </xf>
    <xf numFmtId="43" fontId="8" fillId="0" borderId="12" xfId="2" applyNumberFormat="1" applyFont="1" applyFill="1" applyBorder="1" applyAlignment="1">
      <alignment horizontal="center" vertical="center"/>
    </xf>
    <xf numFmtId="166" fontId="8" fillId="0" borderId="11" xfId="2" applyNumberFormat="1" applyFont="1" applyFill="1" applyBorder="1" applyAlignment="1">
      <alignment horizontal="center" vertical="center"/>
    </xf>
    <xf numFmtId="165" fontId="8" fillId="0" borderId="12" xfId="1" applyNumberFormat="1" applyFont="1" applyFill="1" applyBorder="1" applyAlignment="1">
      <alignment vertical="center"/>
    </xf>
    <xf numFmtId="43" fontId="9" fillId="0" borderId="11" xfId="8" applyFont="1" applyFill="1" applyBorder="1" applyAlignment="1">
      <alignment horizontal="center" vertical="center"/>
    </xf>
    <xf numFmtId="43" fontId="8" fillId="3" borderId="12" xfId="3" applyFont="1" applyFill="1" applyBorder="1" applyAlignment="1">
      <alignment horizontal="center" vertical="center"/>
    </xf>
    <xf numFmtId="168" fontId="8" fillId="0" borderId="12" xfId="2" applyNumberFormat="1" applyFont="1" applyFill="1" applyBorder="1" applyAlignment="1">
      <alignment horizontal="right" vertical="center"/>
    </xf>
    <xf numFmtId="0" fontId="5" fillId="4" borderId="4" xfId="1" quotePrefix="1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169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16" xfId="0" applyBorder="1"/>
    <xf numFmtId="0" fontId="8" fillId="0" borderId="16" xfId="1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vertical="center" wrapText="1"/>
    </xf>
    <xf numFmtId="165" fontId="8" fillId="0" borderId="16" xfId="2" applyNumberFormat="1" applyFont="1" applyFill="1" applyBorder="1" applyAlignment="1">
      <alignment horizontal="center" vertical="center"/>
    </xf>
    <xf numFmtId="43" fontId="8" fillId="0" borderId="17" xfId="3" applyFont="1" applyFill="1" applyBorder="1" applyAlignment="1">
      <alignment horizontal="center" vertical="center"/>
    </xf>
    <xf numFmtId="43" fontId="8" fillId="7" borderId="17" xfId="3" applyFont="1" applyFill="1" applyBorder="1" applyAlignment="1">
      <alignment horizontal="center" vertical="center"/>
    </xf>
    <xf numFmtId="0" fontId="8" fillId="0" borderId="15" xfId="1" applyFont="1" applyFill="1" applyBorder="1" applyAlignment="1">
      <alignment vertical="center" wrapText="1"/>
    </xf>
    <xf numFmtId="0" fontId="7" fillId="6" borderId="18" xfId="1" applyFont="1" applyFill="1" applyBorder="1" applyAlignment="1">
      <alignment vertical="center"/>
    </xf>
    <xf numFmtId="165" fontId="7" fillId="6" borderId="18" xfId="2" applyNumberFormat="1" applyFont="1" applyFill="1" applyBorder="1" applyAlignment="1">
      <alignment vertical="center"/>
    </xf>
    <xf numFmtId="43" fontId="7" fillId="0" borderId="18" xfId="3" applyFont="1" applyFill="1" applyBorder="1" applyAlignment="1">
      <alignment horizontal="center" vertical="center"/>
    </xf>
    <xf numFmtId="43" fontId="0" fillId="0" borderId="0" xfId="0" applyNumberFormat="1"/>
    <xf numFmtId="0" fontId="0" fillId="0" borderId="0" xfId="0" applyAlignment="1"/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2" fontId="8" fillId="0" borderId="9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72" fontId="0" fillId="0" borderId="0" xfId="0" applyNumberFormat="1" applyFont="1" applyAlignment="1">
      <alignment horizontal="center" vertical="center"/>
    </xf>
    <xf numFmtId="172" fontId="0" fillId="0" borderId="0" xfId="0" applyNumberFormat="1" applyFont="1" applyAlignment="1">
      <alignment horizontal="right" vertical="center"/>
    </xf>
    <xf numFmtId="43" fontId="16" fillId="0" borderId="9" xfId="3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172" fontId="15" fillId="0" borderId="9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172" fontId="0" fillId="0" borderId="9" xfId="0" applyNumberFormat="1" applyFont="1" applyBorder="1" applyAlignment="1">
      <alignment horizontal="right" vertical="center"/>
    </xf>
    <xf numFmtId="172" fontId="0" fillId="0" borderId="9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8" fillId="0" borderId="9" xfId="1" applyFont="1" applyFill="1" applyBorder="1" applyAlignment="1">
      <alignment vertical="center"/>
    </xf>
    <xf numFmtId="43" fontId="10" fillId="3" borderId="9" xfId="3" applyFont="1" applyFill="1" applyBorder="1" applyAlignment="1">
      <alignment horizontal="left" vertical="center" wrapText="1"/>
    </xf>
    <xf numFmtId="0" fontId="9" fillId="3" borderId="9" xfId="1" applyFont="1" applyFill="1" applyBorder="1" applyAlignment="1">
      <alignment horizontal="left" vertical="center"/>
    </xf>
    <xf numFmtId="172" fontId="14" fillId="3" borderId="9" xfId="0" applyNumberFormat="1" applyFont="1" applyFill="1" applyBorder="1" applyAlignment="1">
      <alignment horizontal="right"/>
    </xf>
    <xf numFmtId="0" fontId="12" fillId="3" borderId="9" xfId="12" applyNumberFormat="1" applyFont="1" applyFill="1" applyBorder="1" applyAlignment="1">
      <alignment horizontal="left" vertical="center" wrapText="1"/>
    </xf>
    <xf numFmtId="172" fontId="8" fillId="3" borderId="9" xfId="3" applyNumberFormat="1" applyFont="1" applyFill="1" applyBorder="1" applyAlignment="1">
      <alignment horizontal="right" vertical="center"/>
    </xf>
    <xf numFmtId="170" fontId="10" fillId="3" borderId="9" xfId="9" applyNumberFormat="1" applyFont="1" applyFill="1" applyBorder="1" applyAlignment="1">
      <alignment horizontal="left" vertical="center" wrapText="1"/>
    </xf>
    <xf numFmtId="170" fontId="10" fillId="3" borderId="9" xfId="11" applyNumberFormat="1" applyFont="1" applyFill="1" applyBorder="1" applyAlignment="1">
      <alignment horizontal="left" vertical="center" wrapText="1"/>
    </xf>
    <xf numFmtId="0" fontId="9" fillId="0" borderId="9" xfId="1" applyNumberFormat="1" applyFont="1" applyFill="1" applyBorder="1" applyAlignment="1">
      <alignment vertical="center"/>
    </xf>
    <xf numFmtId="170" fontId="12" fillId="3" borderId="9" xfId="11" applyNumberFormat="1" applyFont="1" applyFill="1" applyBorder="1" applyAlignment="1">
      <alignment horizontal="left" vertical="center" wrapText="1"/>
    </xf>
    <xf numFmtId="172" fontId="14" fillId="3" borderId="9" xfId="0" applyNumberFormat="1" applyFont="1" applyFill="1" applyBorder="1"/>
    <xf numFmtId="0" fontId="9" fillId="3" borderId="9" xfId="1" applyFont="1" applyFill="1" applyBorder="1" applyAlignment="1">
      <alignment vertical="center"/>
    </xf>
    <xf numFmtId="0" fontId="9" fillId="0" borderId="9" xfId="1" applyFont="1" applyFill="1" applyBorder="1" applyAlignment="1">
      <alignment vertical="center"/>
    </xf>
    <xf numFmtId="0" fontId="10" fillId="3" borderId="9" xfId="11" applyFont="1" applyFill="1" applyBorder="1" applyAlignment="1">
      <alignment horizontal="left" vertical="center" wrapText="1"/>
    </xf>
    <xf numFmtId="170" fontId="12" fillId="3" borderId="9" xfId="13" applyNumberFormat="1" applyFont="1" applyFill="1" applyBorder="1" applyAlignment="1">
      <alignment horizontal="left" vertical="center" wrapText="1"/>
    </xf>
    <xf numFmtId="0" fontId="8" fillId="0" borderId="9" xfId="1" applyFont="1" applyFill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43" fontId="13" fillId="0" borderId="9" xfId="3" applyFont="1" applyFill="1" applyBorder="1" applyAlignment="1">
      <alignment horizontal="center" vertical="center" wrapText="1"/>
    </xf>
    <xf numFmtId="172" fontId="13" fillId="0" borderId="9" xfId="3" applyNumberFormat="1" applyFont="1" applyFill="1" applyBorder="1" applyAlignment="1">
      <alignment horizontal="center" vertical="center" wrapText="1"/>
    </xf>
    <xf numFmtId="43" fontId="10" fillId="0" borderId="9" xfId="3" applyFont="1" applyFill="1" applyBorder="1" applyAlignment="1">
      <alignment horizontal="center" vertical="center" wrapText="1"/>
    </xf>
    <xf numFmtId="172" fontId="15" fillId="0" borderId="9" xfId="0" applyNumberFormat="1" applyFont="1" applyBorder="1" applyAlignment="1">
      <alignment horizontal="center" vertical="center"/>
    </xf>
    <xf numFmtId="172" fontId="8" fillId="3" borderId="9" xfId="3" applyNumberFormat="1" applyFont="1" applyFill="1" applyBorder="1" applyAlignment="1">
      <alignment horizontal="center" vertical="center"/>
    </xf>
    <xf numFmtId="170" fontId="10" fillId="3" borderId="0" xfId="11" applyNumberFormat="1" applyFont="1" applyFill="1" applyBorder="1" applyAlignment="1">
      <alignment horizontal="left" vertical="center" wrapText="1"/>
    </xf>
    <xf numFmtId="172" fontId="0" fillId="0" borderId="0" xfId="0" applyNumberFormat="1"/>
    <xf numFmtId="43" fontId="17" fillId="8" borderId="9" xfId="3" applyFont="1" applyFill="1" applyBorder="1" applyAlignment="1">
      <alignment horizontal="left" vertical="center" wrapText="1"/>
    </xf>
    <xf numFmtId="0" fontId="17" fillId="8" borderId="9" xfId="12" applyNumberFormat="1" applyFont="1" applyFill="1" applyBorder="1" applyAlignment="1">
      <alignment horizontal="left" vertical="center" wrapText="1"/>
    </xf>
    <xf numFmtId="0" fontId="18" fillId="8" borderId="9" xfId="0" applyFont="1" applyFill="1" applyBorder="1" applyAlignment="1">
      <alignment horizontal="left" vertical="center"/>
    </xf>
    <xf numFmtId="172" fontId="18" fillId="8" borderId="9" xfId="0" applyNumberFormat="1" applyFont="1" applyFill="1" applyBorder="1" applyAlignment="1">
      <alignment horizontal="right" vertical="center"/>
    </xf>
    <xf numFmtId="172" fontId="18" fillId="8" borderId="9" xfId="0" applyNumberFormat="1" applyFont="1" applyFill="1" applyBorder="1" applyAlignment="1">
      <alignment horizontal="center" vertical="center"/>
    </xf>
    <xf numFmtId="172" fontId="11" fillId="8" borderId="9" xfId="3" applyNumberFormat="1" applyFont="1" applyFill="1" applyBorder="1" applyAlignment="1">
      <alignment horizontal="right" vertical="center"/>
    </xf>
    <xf numFmtId="0" fontId="11" fillId="8" borderId="9" xfId="1" applyFont="1" applyFill="1" applyBorder="1" applyAlignment="1">
      <alignment horizontal="left" vertical="center"/>
    </xf>
    <xf numFmtId="0" fontId="18" fillId="8" borderId="9" xfId="0" applyFont="1" applyFill="1" applyBorder="1" applyAlignment="1">
      <alignment horizontal="center" vertical="center"/>
    </xf>
    <xf numFmtId="170" fontId="17" fillId="8" borderId="9" xfId="9" applyNumberFormat="1" applyFont="1" applyFill="1" applyBorder="1" applyAlignment="1">
      <alignment horizontal="left" vertical="center" wrapText="1"/>
    </xf>
    <xf numFmtId="170" fontId="17" fillId="8" borderId="9" xfId="13" applyNumberFormat="1" applyFont="1" applyFill="1" applyBorder="1" applyAlignment="1">
      <alignment horizontal="left" vertical="center" wrapText="1"/>
    </xf>
    <xf numFmtId="170" fontId="17" fillId="8" borderId="9" xfId="11" applyNumberFormat="1" applyFont="1" applyFill="1" applyBorder="1" applyAlignment="1">
      <alignment horizontal="left" vertical="center" wrapText="1"/>
    </xf>
    <xf numFmtId="170" fontId="19" fillId="8" borderId="9" xfId="14" applyNumberFormat="1" applyFont="1" applyFill="1" applyBorder="1" applyAlignment="1">
      <alignment horizontal="left" vertical="center" wrapText="1"/>
    </xf>
    <xf numFmtId="170" fontId="17" fillId="8" borderId="9" xfId="15" applyNumberFormat="1" applyFont="1" applyFill="1" applyBorder="1" applyAlignment="1">
      <alignment horizontal="left" vertical="center" wrapText="1"/>
    </xf>
    <xf numFmtId="0" fontId="17" fillId="8" borderId="9" xfId="11" applyFont="1" applyFill="1" applyBorder="1" applyAlignment="1">
      <alignment horizontal="left" vertical="center" wrapText="1"/>
    </xf>
    <xf numFmtId="49" fontId="22" fillId="8" borderId="9" xfId="1" applyNumberFormat="1" applyFont="1" applyFill="1" applyBorder="1" applyAlignment="1">
      <alignment horizontal="left" vertical="center" wrapText="1"/>
    </xf>
    <xf numFmtId="0" fontId="22" fillId="8" borderId="9" xfId="1" applyFont="1" applyFill="1" applyBorder="1" applyAlignment="1">
      <alignment vertical="center" wrapText="1"/>
    </xf>
    <xf numFmtId="170" fontId="17" fillId="8" borderId="9" xfId="11" quotePrefix="1" applyNumberFormat="1" applyFont="1" applyFill="1" applyBorder="1" applyAlignment="1">
      <alignment horizontal="left" vertical="center" wrapText="1"/>
    </xf>
    <xf numFmtId="0" fontId="17" fillId="8" borderId="9" xfId="16" applyFont="1" applyFill="1" applyBorder="1" applyAlignment="1">
      <alignment horizontal="left" vertical="center" wrapText="1"/>
    </xf>
    <xf numFmtId="0" fontId="8" fillId="9" borderId="9" xfId="1" applyFont="1" applyFill="1" applyBorder="1" applyAlignment="1">
      <alignment horizontal="right" vertical="center"/>
    </xf>
    <xf numFmtId="0" fontId="8" fillId="9" borderId="9" xfId="1" applyFont="1" applyFill="1" applyBorder="1" applyAlignment="1">
      <alignment vertical="center"/>
    </xf>
    <xf numFmtId="0" fontId="8" fillId="9" borderId="9" xfId="1" applyFont="1" applyFill="1" applyBorder="1" applyAlignment="1">
      <alignment horizontal="left" vertical="center"/>
    </xf>
    <xf numFmtId="172" fontId="8" fillId="9" borderId="9" xfId="3" applyNumberFormat="1" applyFont="1" applyFill="1" applyBorder="1" applyAlignment="1">
      <alignment horizontal="right" vertical="center"/>
    </xf>
    <xf numFmtId="172" fontId="0" fillId="9" borderId="9" xfId="0" applyNumberFormat="1" applyFont="1" applyFill="1" applyBorder="1" applyAlignment="1">
      <alignment horizontal="center" vertical="center"/>
    </xf>
    <xf numFmtId="0" fontId="8" fillId="9" borderId="9" xfId="1" applyFont="1" applyFill="1" applyBorder="1" applyAlignment="1">
      <alignment horizontal="left" vertical="center" wrapText="1"/>
    </xf>
    <xf numFmtId="43" fontId="10" fillId="9" borderId="9" xfId="3" applyFont="1" applyFill="1" applyBorder="1" applyAlignment="1">
      <alignment horizontal="left" vertical="center" wrapText="1"/>
    </xf>
    <xf numFmtId="0" fontId="0" fillId="9" borderId="9" xfId="0" applyFont="1" applyFill="1" applyBorder="1" applyAlignment="1">
      <alignment horizontal="left" vertical="center"/>
    </xf>
    <xf numFmtId="172" fontId="0" fillId="9" borderId="9" xfId="0" applyNumberFormat="1" applyFont="1" applyFill="1" applyBorder="1" applyAlignment="1">
      <alignment horizontal="right" vertical="center"/>
    </xf>
    <xf numFmtId="170" fontId="10" fillId="9" borderId="9" xfId="9" applyNumberFormat="1" applyFont="1" applyFill="1" applyBorder="1" applyAlignment="1">
      <alignment horizontal="left" vertical="center" wrapText="1"/>
    </xf>
    <xf numFmtId="172" fontId="8" fillId="9" borderId="9" xfId="3" applyNumberFormat="1" applyFont="1" applyFill="1" applyBorder="1" applyAlignment="1">
      <alignment horizontal="center" vertical="center"/>
    </xf>
    <xf numFmtId="0" fontId="8" fillId="9" borderId="9" xfId="1" applyNumberFormat="1" applyFont="1" applyFill="1" applyBorder="1" applyAlignment="1">
      <alignment vertical="center"/>
    </xf>
    <xf numFmtId="170" fontId="10" fillId="9" borderId="9" xfId="11" applyNumberFormat="1" applyFont="1" applyFill="1" applyBorder="1" applyAlignment="1">
      <alignment horizontal="left" vertical="center" wrapText="1"/>
    </xf>
    <xf numFmtId="0" fontId="0" fillId="9" borderId="9" xfId="0" applyFont="1" applyFill="1" applyBorder="1" applyAlignment="1">
      <alignment horizontal="center" vertical="center"/>
    </xf>
    <xf numFmtId="170" fontId="12" fillId="9" borderId="9" xfId="11" applyNumberFormat="1" applyFont="1" applyFill="1" applyBorder="1" applyAlignment="1">
      <alignment horizontal="left" vertical="center" wrapText="1"/>
    </xf>
    <xf numFmtId="172" fontId="8" fillId="9" borderId="9" xfId="3" applyNumberFormat="1" applyFont="1" applyFill="1" applyBorder="1" applyAlignment="1">
      <alignment vertical="center"/>
    </xf>
    <xf numFmtId="0" fontId="10" fillId="9" borderId="9" xfId="11" applyFont="1" applyFill="1" applyBorder="1" applyAlignment="1">
      <alignment horizontal="left" vertical="center" wrapText="1"/>
    </xf>
    <xf numFmtId="17" fontId="0" fillId="0" borderId="0" xfId="0" applyNumberFormat="1"/>
    <xf numFmtId="17" fontId="15" fillId="0" borderId="9" xfId="0" applyNumberFormat="1" applyFont="1" applyBorder="1" applyAlignment="1">
      <alignment horizontal="center" vertical="center"/>
    </xf>
    <xf numFmtId="43" fontId="13" fillId="0" borderId="9" xfId="3" applyFont="1" applyFill="1" applyBorder="1" applyAlignment="1">
      <alignment vertical="center"/>
    </xf>
    <xf numFmtId="43" fontId="13" fillId="0" borderId="14" xfId="3" applyFont="1" applyFill="1" applyBorder="1" applyAlignment="1">
      <alignment horizontal="center" vertical="center"/>
    </xf>
    <xf numFmtId="43" fontId="13" fillId="0" borderId="1" xfId="3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left" vertical="center"/>
    </xf>
    <xf numFmtId="44" fontId="0" fillId="0" borderId="9" xfId="17" applyFont="1" applyBorder="1"/>
    <xf numFmtId="0" fontId="0" fillId="0" borderId="22" xfId="0" applyBorder="1"/>
    <xf numFmtId="44" fontId="0" fillId="0" borderId="23" xfId="17" applyFont="1" applyBorder="1"/>
    <xf numFmtId="0" fontId="0" fillId="0" borderId="22" xfId="0" applyFont="1" applyBorder="1" applyAlignment="1">
      <alignment horizontal="center" vertical="center"/>
    </xf>
    <xf numFmtId="0" fontId="0" fillId="0" borderId="23" xfId="0" applyBorder="1"/>
    <xf numFmtId="0" fontId="0" fillId="9" borderId="22" xfId="0" applyFill="1" applyBorder="1"/>
    <xf numFmtId="0" fontId="0" fillId="9" borderId="9" xfId="0" applyFill="1" applyBorder="1" applyAlignment="1">
      <alignment horizontal="left" vertical="center"/>
    </xf>
    <xf numFmtId="44" fontId="0" fillId="9" borderId="9" xfId="17" applyFont="1" applyFill="1" applyBorder="1"/>
    <xf numFmtId="44" fontId="0" fillId="9" borderId="23" xfId="17" applyFont="1" applyFill="1" applyBorder="1"/>
    <xf numFmtId="0" fontId="0" fillId="10" borderId="19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9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4" xfId="0" applyFill="1" applyBorder="1"/>
    <xf numFmtId="0" fontId="0" fillId="10" borderId="25" xfId="0" applyFill="1" applyBorder="1"/>
    <xf numFmtId="44" fontId="0" fillId="10" borderId="25" xfId="0" applyNumberFormat="1" applyFill="1" applyBorder="1"/>
    <xf numFmtId="44" fontId="0" fillId="10" borderId="26" xfId="0" applyNumberFormat="1" applyFill="1" applyBorder="1"/>
  </cellXfs>
  <cellStyles count="18">
    <cellStyle name="Moeda" xfId="17" builtinId="4"/>
    <cellStyle name="Normal" xfId="0" builtinId="0"/>
    <cellStyle name="Normal 10 2 10 2" xfId="11" xr:uid="{A4469FF7-914F-4560-AE7C-DA48F0A6434C}"/>
    <cellStyle name="Normal 11 3" xfId="13" xr:uid="{E48E5011-C07A-493E-9052-8F892B6CA692}"/>
    <cellStyle name="Normal 2 17" xfId="12" xr:uid="{0F616DDE-CA18-494D-8633-3C20B877A960}"/>
    <cellStyle name="Normal 2 2 2 2 2" xfId="5" xr:uid="{C12B3288-9389-44BD-A1AF-0DDF50B7EB32}"/>
    <cellStyle name="Normal 2 3 2 5" xfId="1" xr:uid="{3BE42B90-48AB-4060-AC4D-31EEEE074DEE}"/>
    <cellStyle name="Normal 3 11 4" xfId="16" xr:uid="{BADC87B5-B357-4142-891B-44CA40F57E49}"/>
    <cellStyle name="Normal 35" xfId="10" xr:uid="{87361D13-D170-4E3B-8876-0135BAB4FBFA}"/>
    <cellStyle name="Normal 4 4" xfId="9" xr:uid="{2726033C-16DC-45A3-9DEA-479C5B23EFE5}"/>
    <cellStyle name="Normal 6" xfId="14" xr:uid="{DDB4A2CA-BE51-4A23-8CE3-54382378B00A}"/>
    <cellStyle name="Normal_GU-E-445_PQs_Fornecimento_Equipamentos_Mecanicos_Rev_4 2 2" xfId="15" xr:uid="{C2EC1A31-1B1C-47AB-8E84-988A9CD0E738}"/>
    <cellStyle name="Vírgula 12" xfId="4" xr:uid="{0192FCAE-B3C9-4A65-A3F4-9E9E0ECD6048}"/>
    <cellStyle name="Vírgula 2 7 2" xfId="2" xr:uid="{10EB5D16-2768-4996-A315-25C5B1DEC611}"/>
    <cellStyle name="Vírgula 2 7 2 2" xfId="7" xr:uid="{CF5E2E97-05A9-49E9-99D9-7D5B2F76AF81}"/>
    <cellStyle name="Vírgula 5 2 2" xfId="3" xr:uid="{20566232-7CF2-470E-9FDE-95E05532B964}"/>
    <cellStyle name="Vírgula 5 2 2 2" xfId="8" xr:uid="{C90D096B-0319-4351-A98A-CEFA322E98FF}"/>
    <cellStyle name="Vírgula 5 2 2 3" xfId="6" xr:uid="{A806A3F4-F64E-4E40-9A61-31AF89A81FC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T23"/>
  <sheetViews>
    <sheetView tabSelected="1" workbookViewId="0">
      <selection activeCell="F32" sqref="F32"/>
    </sheetView>
  </sheetViews>
  <sheetFormatPr defaultRowHeight="15"/>
  <cols>
    <col min="3" max="3" width="10.85546875" bestFit="1" customWidth="1"/>
    <col min="4" max="4" width="19" customWidth="1"/>
    <col min="5" max="5" width="17.42578125" bestFit="1" customWidth="1"/>
    <col min="6" max="6" width="18.5703125" bestFit="1" customWidth="1"/>
    <col min="7" max="7" width="19.85546875" customWidth="1"/>
    <col min="8" max="8" width="13.28515625" bestFit="1" customWidth="1"/>
  </cols>
  <sheetData>
    <row r="1" spans="4:20" ht="15.75" thickBot="1"/>
    <row r="2" spans="4:20">
      <c r="D2" s="208" t="s">
        <v>295</v>
      </c>
      <c r="E2" s="209"/>
      <c r="F2" s="209"/>
      <c r="G2" s="210"/>
      <c r="H2" s="115"/>
      <c r="I2" s="115"/>
      <c r="J2" s="115"/>
      <c r="K2" s="115"/>
      <c r="L2" s="115"/>
      <c r="M2" s="115"/>
      <c r="N2" s="115"/>
      <c r="O2" s="115"/>
    </row>
    <row r="3" spans="4:20">
      <c r="D3" s="211" t="s">
        <v>259</v>
      </c>
      <c r="E3" s="212"/>
      <c r="F3" s="213" t="s">
        <v>307</v>
      </c>
      <c r="G3" s="214" t="s">
        <v>308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</row>
    <row r="4" spans="4:20">
      <c r="D4" s="215" t="s">
        <v>298</v>
      </c>
      <c r="E4" s="216" t="s">
        <v>299</v>
      </c>
      <c r="F4" s="213"/>
      <c r="G4" s="214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</row>
    <row r="5" spans="4:20">
      <c r="D5" s="204" t="s">
        <v>266</v>
      </c>
      <c r="E5" s="205" t="s">
        <v>266</v>
      </c>
      <c r="F5" s="206">
        <f>Dados!AA6</f>
        <v>6201141.8179418072</v>
      </c>
      <c r="G5" s="207">
        <f>Dados!AB6</f>
        <v>6201141.8179418072</v>
      </c>
    </row>
    <row r="6" spans="4:20">
      <c r="D6" s="204" t="s">
        <v>300</v>
      </c>
      <c r="E6" s="205"/>
      <c r="F6" s="206">
        <f>Dados!AA7</f>
        <v>1752644.4795914798</v>
      </c>
      <c r="G6" s="207">
        <f>Dados!AB7</f>
        <v>1752644.4795914798</v>
      </c>
    </row>
    <row r="7" spans="4:20">
      <c r="D7" s="200"/>
      <c r="E7" s="198" t="s">
        <v>273</v>
      </c>
      <c r="F7" s="199">
        <f>Dados!AA8</f>
        <v>1309000</v>
      </c>
      <c r="G7" s="201">
        <f>Dados!AB8</f>
        <v>1309000</v>
      </c>
    </row>
    <row r="8" spans="4:20">
      <c r="D8" s="200"/>
      <c r="E8" s="198" t="s">
        <v>294</v>
      </c>
      <c r="F8" s="199">
        <f>Dados!AA9</f>
        <v>677.456755520191</v>
      </c>
      <c r="G8" s="201">
        <f>Dados!AB9</f>
        <v>677.456755520191</v>
      </c>
    </row>
    <row r="9" spans="4:20">
      <c r="D9" s="200"/>
      <c r="E9" s="198" t="s">
        <v>278</v>
      </c>
      <c r="F9" s="199">
        <f>Dados!AA10</f>
        <v>15499.328549447378</v>
      </c>
      <c r="G9" s="201">
        <f>Dados!AB10</f>
        <v>15499.328549447378</v>
      </c>
    </row>
    <row r="10" spans="4:20">
      <c r="D10" s="200"/>
      <c r="E10" s="198" t="s">
        <v>301</v>
      </c>
      <c r="F10" s="199">
        <f>Dados!AA11</f>
        <v>28252.64403306774</v>
      </c>
      <c r="G10" s="201">
        <f>Dados!AB11</f>
        <v>3984.3440330677399</v>
      </c>
    </row>
    <row r="11" spans="4:20">
      <c r="D11" s="200"/>
      <c r="E11" s="128" t="s">
        <v>305</v>
      </c>
      <c r="F11" s="199">
        <f>Dados!AA12</f>
        <v>17677</v>
      </c>
      <c r="G11" s="201">
        <f>Dados!AB12</f>
        <v>17677</v>
      </c>
    </row>
    <row r="12" spans="4:20">
      <c r="D12" s="202"/>
      <c r="E12" s="128" t="s">
        <v>306</v>
      </c>
      <c r="F12" s="199">
        <f>Dados!AA13</f>
        <v>234500</v>
      </c>
      <c r="G12" s="201">
        <f>Dados!AB13</f>
        <v>234500</v>
      </c>
    </row>
    <row r="13" spans="4:20">
      <c r="D13" s="202"/>
      <c r="E13" s="198" t="s">
        <v>272</v>
      </c>
      <c r="F13" s="199">
        <f>Dados!AA14</f>
        <v>14506.982984153001</v>
      </c>
      <c r="G13" s="201">
        <f>Dados!AB14</f>
        <v>14506.982984153001</v>
      </c>
    </row>
    <row r="14" spans="4:20">
      <c r="D14" s="204" t="s">
        <v>302</v>
      </c>
      <c r="E14" s="205"/>
      <c r="F14" s="206">
        <f>Dados!AA15</f>
        <v>88081.916031625718</v>
      </c>
      <c r="G14" s="207">
        <f>Dados!AB15</f>
        <v>88081.916031625718</v>
      </c>
    </row>
    <row r="15" spans="4:20">
      <c r="D15" s="200"/>
      <c r="E15" s="198" t="s">
        <v>292</v>
      </c>
      <c r="F15" s="199">
        <f>Dados!AA16</f>
        <v>4784.1477797294065</v>
      </c>
      <c r="G15" s="201">
        <f>Dados!AB16</f>
        <v>4784.1477797294065</v>
      </c>
    </row>
    <row r="16" spans="4:20">
      <c r="D16" s="200"/>
      <c r="E16" s="198" t="s">
        <v>281</v>
      </c>
      <c r="F16" s="199">
        <f>Dados!AA17</f>
        <v>2292</v>
      </c>
      <c r="G16" s="201">
        <f>Dados!AB17</f>
        <v>2292</v>
      </c>
    </row>
    <row r="17" spans="4:7">
      <c r="D17" s="200"/>
      <c r="E17" s="198" t="s">
        <v>303</v>
      </c>
      <c r="F17" s="199">
        <f>Dados!AA18</f>
        <v>1860.5201857285497</v>
      </c>
      <c r="G17" s="201">
        <f>Dados!AB18</f>
        <v>1860.5201857285497</v>
      </c>
    </row>
    <row r="18" spans="4:7">
      <c r="D18" s="200"/>
      <c r="E18" s="198" t="s">
        <v>304</v>
      </c>
      <c r="F18" s="199">
        <f>Dados!AA19</f>
        <v>329.88438337801608</v>
      </c>
      <c r="G18" s="201">
        <f>Dados!AB19</f>
        <v>329.88438337801608</v>
      </c>
    </row>
    <row r="19" spans="4:7">
      <c r="D19" s="200"/>
      <c r="E19" s="198" t="s">
        <v>272</v>
      </c>
      <c r="F19" s="199">
        <f>Dados!AA20</f>
        <v>82459.433226812384</v>
      </c>
      <c r="G19" s="201">
        <f>Dados!AB20</f>
        <v>82459.433226812384</v>
      </c>
    </row>
    <row r="20" spans="4:7">
      <c r="D20" s="200"/>
      <c r="E20" s="197"/>
      <c r="F20" s="197"/>
      <c r="G20" s="203"/>
    </row>
    <row r="21" spans="4:7">
      <c r="D21" s="200"/>
      <c r="E21" s="197"/>
      <c r="F21" s="197"/>
      <c r="G21" s="203"/>
    </row>
    <row r="22" spans="4:7">
      <c r="D22" s="200"/>
      <c r="E22" s="197"/>
      <c r="F22" s="197"/>
      <c r="G22" s="203"/>
    </row>
    <row r="23" spans="4:7" ht="15.75" thickBot="1">
      <c r="D23" s="217" t="s">
        <v>309</v>
      </c>
      <c r="E23" s="218"/>
      <c r="F23" s="219">
        <f>SUM(F5:F19)</f>
        <v>9753707.6114627477</v>
      </c>
      <c r="G23" s="220">
        <f>SUM(G5:G19)</f>
        <v>9729439.3114627488</v>
      </c>
    </row>
  </sheetData>
  <mergeCells count="4">
    <mergeCell ref="D3:E3"/>
    <mergeCell ref="F3:F4"/>
    <mergeCell ref="G3:G4"/>
    <mergeCell ref="D2:G2"/>
  </mergeCells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1CDE-5271-44AF-90A7-67B9A1AA3247}">
  <dimension ref="C5:J1892"/>
  <sheetViews>
    <sheetView workbookViewId="0">
      <selection activeCell="G7" sqref="G7"/>
    </sheetView>
  </sheetViews>
  <sheetFormatPr defaultRowHeight="15"/>
  <cols>
    <col min="3" max="3" width="23" bestFit="1" customWidth="1"/>
    <col min="4" max="4" width="113.28515625" bestFit="1" customWidth="1"/>
    <col min="5" max="5" width="12.140625" customWidth="1"/>
    <col min="6" max="6" width="23.140625" customWidth="1"/>
    <col min="7" max="7" width="17.28515625" customWidth="1"/>
    <col min="8" max="8" width="13.28515625" bestFit="1" customWidth="1"/>
    <col min="9" max="9" width="21.28515625" customWidth="1"/>
  </cols>
  <sheetData>
    <row r="5" spans="3:8" ht="18">
      <c r="C5" s="1" t="s">
        <v>0</v>
      </c>
      <c r="D5" s="2"/>
      <c r="E5" s="2"/>
      <c r="F5" s="2"/>
      <c r="G5" s="2"/>
      <c r="H5" s="3"/>
    </row>
    <row r="6" spans="3:8">
      <c r="C6" s="4"/>
      <c r="D6" s="4"/>
      <c r="E6" s="4"/>
      <c r="F6" s="4"/>
      <c r="G6" s="4"/>
      <c r="H6" s="4"/>
    </row>
    <row r="7" spans="3:8">
      <c r="C7" s="5" t="s">
        <v>1</v>
      </c>
      <c r="D7" s="6" t="s">
        <v>2</v>
      </c>
      <c r="E7" s="6"/>
      <c r="F7" s="7"/>
      <c r="G7" s="8"/>
      <c r="H7" s="9"/>
    </row>
    <row r="8" spans="3:8">
      <c r="C8" s="10" t="s">
        <v>3</v>
      </c>
      <c r="D8" s="11" t="s">
        <v>4</v>
      </c>
      <c r="E8" s="12"/>
      <c r="F8" s="13" t="s">
        <v>5</v>
      </c>
      <c r="G8" s="14" t="s">
        <v>6</v>
      </c>
      <c r="H8" s="15">
        <v>0</v>
      </c>
    </row>
    <row r="9" spans="3:8">
      <c r="C9" s="16" t="s">
        <v>7</v>
      </c>
      <c r="D9" s="16" t="s">
        <v>8</v>
      </c>
      <c r="E9" s="16" t="s">
        <v>9</v>
      </c>
      <c r="F9" s="17" t="s">
        <v>10</v>
      </c>
      <c r="G9" s="18" t="s">
        <v>11</v>
      </c>
      <c r="H9" s="18" t="s">
        <v>12</v>
      </c>
    </row>
    <row r="10" spans="3:8">
      <c r="C10" s="16"/>
      <c r="D10" s="16"/>
      <c r="E10" s="16"/>
      <c r="F10" s="17"/>
      <c r="G10" s="19"/>
      <c r="H10" s="19"/>
    </row>
    <row r="11" spans="3:8">
      <c r="C11" s="20" t="s">
        <v>13</v>
      </c>
      <c r="D11" s="21" t="s">
        <v>14</v>
      </c>
      <c r="E11" s="22"/>
      <c r="F11" s="23"/>
      <c r="G11" s="24"/>
      <c r="H11" s="25"/>
    </row>
    <row r="12" spans="3:8">
      <c r="C12" s="26"/>
      <c r="D12" s="27"/>
      <c r="E12" s="28"/>
      <c r="F12" s="23"/>
      <c r="G12" s="29"/>
      <c r="H12" s="30"/>
    </row>
    <row r="13" spans="3:8">
      <c r="C13" s="20"/>
      <c r="D13" s="21"/>
      <c r="E13" s="28"/>
      <c r="F13" s="23"/>
      <c r="G13" s="29">
        <v>0</v>
      </c>
      <c r="H13" s="25"/>
    </row>
    <row r="14" spans="3:8">
      <c r="C14" s="26"/>
      <c r="D14" s="31"/>
      <c r="E14" s="22"/>
      <c r="F14" s="32"/>
      <c r="G14" s="33">
        <v>0</v>
      </c>
      <c r="H14" s="30">
        <v>0</v>
      </c>
    </row>
    <row r="15" spans="3:8">
      <c r="C15" s="34" t="s">
        <v>15</v>
      </c>
      <c r="D15" s="34"/>
      <c r="E15" s="34"/>
      <c r="F15" s="35"/>
      <c r="G15" s="34"/>
      <c r="H15" s="36">
        <v>0</v>
      </c>
    </row>
    <row r="16" spans="3:8">
      <c r="C16" s="37" t="s">
        <v>16</v>
      </c>
      <c r="D16" s="38" t="s">
        <v>17</v>
      </c>
      <c r="E16" s="39"/>
      <c r="F16" s="40"/>
      <c r="G16" s="41"/>
      <c r="H16" s="41"/>
    </row>
    <row r="17" spans="3:8">
      <c r="C17" s="22"/>
      <c r="D17" s="42"/>
      <c r="E17" s="22"/>
      <c r="F17" s="43"/>
      <c r="G17" s="30">
        <v>0</v>
      </c>
      <c r="H17" s="44">
        <v>0</v>
      </c>
    </row>
    <row r="18" spans="3:8">
      <c r="C18" s="22"/>
      <c r="D18" s="27"/>
      <c r="E18" s="22"/>
      <c r="F18" s="43"/>
      <c r="G18" s="30">
        <v>0</v>
      </c>
      <c r="H18" s="44">
        <v>0</v>
      </c>
    </row>
    <row r="19" spans="3:8">
      <c r="C19" s="22"/>
      <c r="D19" s="42"/>
      <c r="E19" s="22"/>
      <c r="F19" s="43"/>
      <c r="G19" s="30">
        <v>0</v>
      </c>
      <c r="H19" s="44">
        <v>0</v>
      </c>
    </row>
    <row r="20" spans="3:8">
      <c r="C20" s="22"/>
      <c r="D20" s="42"/>
      <c r="E20" s="22"/>
      <c r="F20" s="43"/>
      <c r="G20" s="30">
        <v>0</v>
      </c>
      <c r="H20" s="44">
        <v>0</v>
      </c>
    </row>
    <row r="21" spans="3:8">
      <c r="C21" s="22"/>
      <c r="D21" s="27"/>
      <c r="E21" s="22"/>
      <c r="F21" s="43"/>
      <c r="G21" s="30">
        <v>0</v>
      </c>
      <c r="H21" s="44">
        <v>0</v>
      </c>
    </row>
    <row r="22" spans="3:8">
      <c r="C22" s="22"/>
      <c r="D22" s="42"/>
      <c r="E22" s="22"/>
      <c r="F22" s="43"/>
      <c r="G22" s="30">
        <v>0</v>
      </c>
      <c r="H22" s="44">
        <v>0</v>
      </c>
    </row>
    <row r="23" spans="3:8">
      <c r="C23" s="22"/>
      <c r="D23" s="42"/>
      <c r="E23" s="22"/>
      <c r="F23" s="43"/>
      <c r="G23" s="45">
        <v>0</v>
      </c>
      <c r="H23" s="44">
        <v>0</v>
      </c>
    </row>
    <row r="24" spans="3:8">
      <c r="C24" s="22"/>
      <c r="D24" s="27"/>
      <c r="E24" s="22"/>
      <c r="F24" s="32"/>
      <c r="G24" s="30">
        <v>0</v>
      </c>
      <c r="H24" s="44">
        <v>0</v>
      </c>
    </row>
    <row r="25" spans="3:8">
      <c r="C25" s="34" t="s">
        <v>18</v>
      </c>
      <c r="D25" s="34"/>
      <c r="E25" s="34"/>
      <c r="F25" s="35"/>
      <c r="G25" s="34"/>
      <c r="H25" s="36">
        <v>0</v>
      </c>
    </row>
    <row r="26" spans="3:8">
      <c r="C26" s="37" t="s">
        <v>19</v>
      </c>
      <c r="D26" s="38" t="s">
        <v>20</v>
      </c>
      <c r="E26" s="39"/>
      <c r="F26" s="46"/>
      <c r="G26" s="47"/>
      <c r="H26" s="47">
        <v>0</v>
      </c>
    </row>
    <row r="27" spans="3:8">
      <c r="C27" s="22"/>
      <c r="D27" s="42"/>
      <c r="E27" s="22"/>
      <c r="F27" s="43"/>
      <c r="G27" s="30">
        <v>0</v>
      </c>
      <c r="H27" s="44">
        <v>0</v>
      </c>
    </row>
    <row r="28" spans="3:8">
      <c r="C28" s="22"/>
      <c r="D28" s="42"/>
      <c r="E28" s="28"/>
      <c r="F28" s="23"/>
      <c r="G28" s="30">
        <v>0</v>
      </c>
      <c r="H28" s="33">
        <v>0</v>
      </c>
    </row>
    <row r="29" spans="3:8">
      <c r="C29" s="28"/>
      <c r="D29" s="48"/>
      <c r="E29" s="28"/>
      <c r="F29" s="23"/>
      <c r="G29" s="30">
        <v>0</v>
      </c>
      <c r="H29" s="44">
        <v>0</v>
      </c>
    </row>
    <row r="30" spans="3:8">
      <c r="C30" s="28"/>
      <c r="D30" s="48"/>
      <c r="E30" s="28"/>
      <c r="F30" s="23"/>
      <c r="G30" s="30">
        <v>0</v>
      </c>
      <c r="H30" s="44">
        <v>0</v>
      </c>
    </row>
    <row r="31" spans="3:8">
      <c r="C31" s="28"/>
      <c r="D31" s="48"/>
      <c r="E31" s="28"/>
      <c r="F31" s="23"/>
      <c r="G31" s="30">
        <v>0</v>
      </c>
      <c r="H31" s="44">
        <v>0</v>
      </c>
    </row>
    <row r="32" spans="3:8">
      <c r="C32" s="28"/>
      <c r="D32" s="48"/>
      <c r="E32" s="28"/>
      <c r="F32" s="23"/>
      <c r="G32" s="30">
        <v>0</v>
      </c>
      <c r="H32" s="44">
        <v>0</v>
      </c>
    </row>
    <row r="33" spans="3:9">
      <c r="C33" s="28"/>
      <c r="D33" s="48"/>
      <c r="E33" s="28"/>
      <c r="F33" s="23"/>
      <c r="G33" s="30">
        <v>0</v>
      </c>
      <c r="H33" s="44">
        <v>0</v>
      </c>
    </row>
    <row r="34" spans="3:9">
      <c r="C34" s="34" t="s">
        <v>21</v>
      </c>
      <c r="D34" s="34"/>
      <c r="E34" s="34"/>
      <c r="F34" s="35"/>
      <c r="G34" s="34"/>
      <c r="H34" s="36">
        <v>0</v>
      </c>
    </row>
    <row r="35" spans="3:9" ht="15.75">
      <c r="C35" s="49" t="s">
        <v>22</v>
      </c>
      <c r="D35" s="50"/>
      <c r="E35" s="50"/>
      <c r="F35" s="51"/>
      <c r="G35" s="52"/>
      <c r="H35" s="36">
        <v>0</v>
      </c>
    </row>
    <row r="36" spans="3:9" ht="15.75">
      <c r="C36" s="49" t="s">
        <v>23</v>
      </c>
      <c r="D36" s="50"/>
      <c r="E36" s="50"/>
      <c r="F36" s="51"/>
      <c r="G36" s="52"/>
      <c r="H36" s="53">
        <v>0</v>
      </c>
    </row>
    <row r="37" spans="3:9" ht="15.75">
      <c r="C37" s="49" t="s">
        <v>24</v>
      </c>
      <c r="D37" s="50"/>
      <c r="E37" s="50"/>
      <c r="F37" s="51"/>
      <c r="G37" s="52"/>
      <c r="H37" s="36">
        <v>0</v>
      </c>
    </row>
    <row r="38" spans="3:9">
      <c r="C38" s="4"/>
      <c r="D38" s="4"/>
      <c r="E38" s="4"/>
      <c r="F38" s="4"/>
      <c r="G38" s="4"/>
      <c r="H38" s="4"/>
    </row>
    <row r="39" spans="3:9">
      <c r="C39" s="5" t="s">
        <v>1</v>
      </c>
      <c r="D39" s="6" t="s">
        <v>25</v>
      </c>
      <c r="E39" s="6"/>
      <c r="F39" s="7"/>
      <c r="G39" s="8"/>
      <c r="H39" s="9"/>
    </row>
    <row r="40" spans="3:9">
      <c r="C40" s="10" t="s">
        <v>3</v>
      </c>
      <c r="D40" s="11" t="s">
        <v>26</v>
      </c>
      <c r="E40" s="12"/>
      <c r="F40" s="13" t="s">
        <v>5</v>
      </c>
      <c r="G40" s="14" t="s">
        <v>6</v>
      </c>
      <c r="H40" s="15">
        <v>268104.34999999998</v>
      </c>
    </row>
    <row r="41" spans="3:9">
      <c r="C41" s="16" t="s">
        <v>7</v>
      </c>
      <c r="D41" s="16" t="s">
        <v>8</v>
      </c>
      <c r="E41" s="16" t="s">
        <v>9</v>
      </c>
      <c r="F41" s="17" t="s">
        <v>10</v>
      </c>
      <c r="G41" s="18" t="s">
        <v>11</v>
      </c>
      <c r="H41" s="18" t="s">
        <v>12</v>
      </c>
    </row>
    <row r="42" spans="3:9">
      <c r="C42" s="16"/>
      <c r="D42" s="16"/>
      <c r="E42" s="16"/>
      <c r="F42" s="17"/>
      <c r="G42" s="19"/>
      <c r="H42" s="19"/>
    </row>
    <row r="43" spans="3:9">
      <c r="C43" s="20" t="s">
        <v>13</v>
      </c>
      <c r="D43" s="21" t="s">
        <v>14</v>
      </c>
      <c r="E43" s="22"/>
      <c r="F43" s="23"/>
      <c r="G43" s="24"/>
      <c r="H43" s="25"/>
    </row>
    <row r="44" spans="3:9">
      <c r="C44" s="22" t="s">
        <v>27</v>
      </c>
      <c r="D44" s="54" t="s">
        <v>28</v>
      </c>
      <c r="E44" s="22" t="s">
        <v>29</v>
      </c>
      <c r="F44" s="55">
        <v>330</v>
      </c>
      <c r="G44" s="29">
        <v>79.456006436582371</v>
      </c>
      <c r="H44" s="30">
        <v>26220.482124072183</v>
      </c>
    </row>
    <row r="45" spans="3:9">
      <c r="C45" s="22" t="s">
        <v>27</v>
      </c>
      <c r="D45" s="48" t="s">
        <v>30</v>
      </c>
      <c r="E45" s="22" t="s">
        <v>29</v>
      </c>
      <c r="F45" s="55">
        <v>330</v>
      </c>
      <c r="G45" s="29">
        <v>45.411750977784656</v>
      </c>
      <c r="H45" s="30">
        <v>14985.877822668937</v>
      </c>
    </row>
    <row r="46" spans="3:9">
      <c r="C46" s="22"/>
      <c r="D46" s="48"/>
      <c r="E46" s="22"/>
      <c r="F46" s="43"/>
      <c r="G46" s="29">
        <v>0</v>
      </c>
      <c r="H46" s="30">
        <v>0</v>
      </c>
    </row>
    <row r="47" spans="3:9">
      <c r="C47" s="22"/>
      <c r="D47" s="48"/>
      <c r="E47" s="22"/>
      <c r="F47" s="43"/>
      <c r="G47" s="29">
        <v>0</v>
      </c>
      <c r="H47" s="30">
        <v>0</v>
      </c>
    </row>
    <row r="48" spans="3:9">
      <c r="C48" s="34" t="s">
        <v>15</v>
      </c>
      <c r="D48" s="34"/>
      <c r="E48" s="34"/>
      <c r="F48" s="35"/>
      <c r="G48" s="34"/>
      <c r="H48" s="36">
        <f>H44+H45</f>
        <v>41206.359946741119</v>
      </c>
      <c r="I48" s="114"/>
    </row>
    <row r="49" spans="3:8">
      <c r="C49" s="37" t="s">
        <v>16</v>
      </c>
      <c r="D49" s="38" t="s">
        <v>17</v>
      </c>
      <c r="E49" s="39"/>
      <c r="F49" s="40"/>
      <c r="G49" s="41"/>
      <c r="H49" s="41"/>
    </row>
    <row r="50" spans="3:8">
      <c r="C50" s="22" t="s">
        <v>31</v>
      </c>
      <c r="D50" s="56" t="s">
        <v>32</v>
      </c>
      <c r="E50" s="22" t="s">
        <v>33</v>
      </c>
      <c r="F50" s="57">
        <v>1</v>
      </c>
      <c r="G50" s="30">
        <v>100000</v>
      </c>
      <c r="H50" s="44">
        <v>100000</v>
      </c>
    </row>
    <row r="51" spans="3:8">
      <c r="C51" s="22"/>
      <c r="D51" s="58"/>
      <c r="E51" s="22"/>
      <c r="F51" s="23"/>
      <c r="G51" s="30"/>
      <c r="H51" s="44"/>
    </row>
    <row r="52" spans="3:8">
      <c r="C52" s="22"/>
      <c r="D52" s="58"/>
      <c r="E52" s="22"/>
      <c r="F52" s="57"/>
      <c r="G52" s="30">
        <v>0</v>
      </c>
      <c r="H52" s="44">
        <v>0</v>
      </c>
    </row>
    <row r="53" spans="3:8">
      <c r="C53" s="22"/>
      <c r="D53" s="58"/>
      <c r="E53" s="22"/>
      <c r="F53" s="23"/>
      <c r="G53" s="30">
        <v>0</v>
      </c>
      <c r="H53" s="44">
        <v>0</v>
      </c>
    </row>
    <row r="54" spans="3:8">
      <c r="C54" s="22"/>
      <c r="D54" s="58"/>
      <c r="E54" s="22"/>
      <c r="F54" s="57"/>
      <c r="G54" s="30">
        <v>0</v>
      </c>
      <c r="H54" s="44">
        <v>0</v>
      </c>
    </row>
    <row r="55" spans="3:8">
      <c r="C55" s="22"/>
      <c r="D55" s="58"/>
      <c r="E55" s="22"/>
      <c r="F55" s="57"/>
      <c r="G55" s="30">
        <v>0</v>
      </c>
      <c r="H55" s="44">
        <v>0</v>
      </c>
    </row>
    <row r="56" spans="3:8">
      <c r="C56" s="22"/>
      <c r="D56" s="58"/>
      <c r="E56" s="22"/>
      <c r="F56" s="32"/>
      <c r="G56" s="45">
        <v>0</v>
      </c>
      <c r="H56" s="44">
        <v>0</v>
      </c>
    </row>
    <row r="57" spans="3:8">
      <c r="C57" s="22"/>
      <c r="D57" s="27"/>
      <c r="E57" s="22"/>
      <c r="F57" s="32"/>
      <c r="G57" s="30">
        <v>0</v>
      </c>
      <c r="H57" s="44">
        <v>0</v>
      </c>
    </row>
    <row r="58" spans="3:8">
      <c r="C58" s="34" t="s">
        <v>18</v>
      </c>
      <c r="D58" s="34"/>
      <c r="E58" s="34"/>
      <c r="F58" s="35"/>
      <c r="G58" s="34"/>
      <c r="H58" s="36">
        <v>100000</v>
      </c>
    </row>
    <row r="59" spans="3:8">
      <c r="C59" s="37" t="s">
        <v>19</v>
      </c>
      <c r="D59" s="38" t="s">
        <v>20</v>
      </c>
      <c r="E59" s="39"/>
      <c r="F59" s="46"/>
      <c r="G59" s="47"/>
      <c r="H59" s="47">
        <v>0</v>
      </c>
    </row>
    <row r="60" spans="3:8">
      <c r="C60" s="59"/>
      <c r="D60" s="60" t="s">
        <v>34</v>
      </c>
      <c r="E60" s="59"/>
      <c r="F60" s="61"/>
      <c r="G60" s="62"/>
      <c r="H60" s="63">
        <v>0</v>
      </c>
    </row>
    <row r="61" spans="3:8">
      <c r="C61" s="28" t="s">
        <v>35</v>
      </c>
      <c r="D61" s="48" t="s">
        <v>36</v>
      </c>
      <c r="E61" s="28" t="s">
        <v>37</v>
      </c>
      <c r="F61" s="23">
        <v>136</v>
      </c>
      <c r="G61" s="30">
        <v>450</v>
      </c>
      <c r="H61" s="44">
        <v>61200</v>
      </c>
    </row>
    <row r="62" spans="3:8">
      <c r="C62" s="28" t="s">
        <v>35</v>
      </c>
      <c r="D62" s="48" t="s">
        <v>38</v>
      </c>
      <c r="E62" s="28" t="s">
        <v>37</v>
      </c>
      <c r="F62" s="23">
        <v>33</v>
      </c>
      <c r="G62" s="30">
        <v>385</v>
      </c>
      <c r="H62" s="44">
        <v>12705</v>
      </c>
    </row>
    <row r="63" spans="3:8">
      <c r="C63" s="28"/>
      <c r="D63" s="48"/>
      <c r="E63" s="28"/>
      <c r="F63" s="23"/>
      <c r="G63" s="30">
        <v>0</v>
      </c>
      <c r="H63" s="44">
        <v>0</v>
      </c>
    </row>
    <row r="64" spans="3:8">
      <c r="C64" s="28"/>
      <c r="D64" s="48"/>
      <c r="E64" s="28"/>
      <c r="F64" s="23"/>
      <c r="G64" s="30">
        <v>0</v>
      </c>
      <c r="H64" s="44">
        <v>0</v>
      </c>
    </row>
    <row r="65" spans="3:8">
      <c r="C65" s="22"/>
      <c r="D65" s="27"/>
      <c r="E65" s="22"/>
      <c r="F65" s="64"/>
      <c r="G65" s="65">
        <v>0</v>
      </c>
      <c r="H65" s="44">
        <v>0</v>
      </c>
    </row>
    <row r="66" spans="3:8">
      <c r="C66" s="34" t="s">
        <v>21</v>
      </c>
      <c r="D66" s="34"/>
      <c r="E66" s="34"/>
      <c r="F66" s="35"/>
      <c r="G66" s="34"/>
      <c r="H66" s="36">
        <f>H61+H62</f>
        <v>73905</v>
      </c>
    </row>
    <row r="67" spans="3:8" ht="15.75">
      <c r="C67" s="49" t="s">
        <v>22</v>
      </c>
      <c r="D67" s="50"/>
      <c r="E67" s="50"/>
      <c r="F67" s="51"/>
      <c r="G67" s="52"/>
      <c r="H67" s="36">
        <v>215111.35994674111</v>
      </c>
    </row>
    <row r="68" spans="3:8" ht="15.75">
      <c r="C68" s="49" t="s">
        <v>23</v>
      </c>
      <c r="D68" s="50"/>
      <c r="E68" s="50"/>
      <c r="F68" s="51"/>
      <c r="G68" s="52"/>
      <c r="H68" s="53">
        <v>52992.991183610422</v>
      </c>
    </row>
    <row r="69" spans="3:8" ht="15.75">
      <c r="C69" s="49" t="s">
        <v>24</v>
      </c>
      <c r="D69" s="50"/>
      <c r="E69" s="50"/>
      <c r="F69" s="51"/>
      <c r="G69" s="52"/>
      <c r="H69" s="36">
        <v>268104.34999999998</v>
      </c>
    </row>
    <row r="70" spans="3:8">
      <c r="C70" s="4"/>
      <c r="D70" s="4"/>
      <c r="E70" s="4"/>
      <c r="F70" s="4"/>
      <c r="G70" s="4"/>
      <c r="H70" s="4"/>
    </row>
    <row r="71" spans="3:8">
      <c r="C71" s="5" t="s">
        <v>1</v>
      </c>
      <c r="D71" s="6" t="s">
        <v>39</v>
      </c>
      <c r="E71" s="6"/>
      <c r="F71" s="7"/>
      <c r="G71" s="8"/>
      <c r="H71" s="9"/>
    </row>
    <row r="72" spans="3:8">
      <c r="C72" s="10" t="s">
        <v>3</v>
      </c>
      <c r="D72" s="11" t="s">
        <v>40</v>
      </c>
      <c r="E72" s="12"/>
      <c r="F72" s="13" t="s">
        <v>5</v>
      </c>
      <c r="G72" s="14" t="s">
        <v>6</v>
      </c>
      <c r="H72" s="15">
        <v>0</v>
      </c>
    </row>
    <row r="73" spans="3:8">
      <c r="C73" s="16" t="s">
        <v>7</v>
      </c>
      <c r="D73" s="16" t="s">
        <v>8</v>
      </c>
      <c r="E73" s="16" t="s">
        <v>9</v>
      </c>
      <c r="F73" s="17" t="s">
        <v>10</v>
      </c>
      <c r="G73" s="18" t="s">
        <v>11</v>
      </c>
      <c r="H73" s="18" t="s">
        <v>12</v>
      </c>
    </row>
    <row r="74" spans="3:8">
      <c r="C74" s="16"/>
      <c r="D74" s="16"/>
      <c r="E74" s="16"/>
      <c r="F74" s="17"/>
      <c r="G74" s="19"/>
      <c r="H74" s="19"/>
    </row>
    <row r="75" spans="3:8">
      <c r="C75" s="20" t="s">
        <v>13</v>
      </c>
      <c r="D75" s="21" t="s">
        <v>14</v>
      </c>
      <c r="E75" s="22"/>
      <c r="F75" s="23"/>
      <c r="G75" s="24"/>
      <c r="H75" s="25"/>
    </row>
    <row r="76" spans="3:8">
      <c r="C76" s="22"/>
      <c r="D76" s="54"/>
      <c r="E76" s="22"/>
      <c r="F76" s="43"/>
      <c r="G76" s="29"/>
      <c r="H76" s="30"/>
    </row>
    <row r="77" spans="3:8">
      <c r="C77" s="22"/>
      <c r="D77" s="54"/>
      <c r="E77" s="22"/>
      <c r="F77" s="43"/>
      <c r="G77" s="29"/>
      <c r="H77" s="30"/>
    </row>
    <row r="78" spans="3:8">
      <c r="C78" s="22"/>
      <c r="D78" s="54"/>
      <c r="E78" s="22"/>
      <c r="F78" s="43"/>
      <c r="G78" s="29"/>
      <c r="H78" s="30"/>
    </row>
    <row r="79" spans="3:8">
      <c r="C79" s="22"/>
      <c r="D79" s="54"/>
      <c r="E79" s="22"/>
      <c r="F79" s="43"/>
      <c r="G79" s="29"/>
      <c r="H79" s="30"/>
    </row>
    <row r="80" spans="3:8">
      <c r="C80" s="22"/>
      <c r="D80" s="48"/>
      <c r="E80" s="22"/>
      <c r="F80" s="23"/>
      <c r="G80" s="29"/>
      <c r="H80" s="30"/>
    </row>
    <row r="81" spans="3:8">
      <c r="C81" s="22"/>
      <c r="D81" s="48"/>
      <c r="E81" s="22"/>
      <c r="F81" s="23"/>
      <c r="G81" s="29"/>
      <c r="H81" s="30"/>
    </row>
    <row r="82" spans="3:8">
      <c r="C82" s="26"/>
      <c r="D82" s="48"/>
      <c r="E82" s="22"/>
      <c r="F82" s="43"/>
      <c r="G82" s="29">
        <v>0</v>
      </c>
      <c r="H82" s="30">
        <v>0</v>
      </c>
    </row>
    <row r="83" spans="3:8">
      <c r="C83" s="26"/>
      <c r="D83" s="48"/>
      <c r="E83" s="22"/>
      <c r="F83" s="43"/>
      <c r="G83" s="29">
        <v>0</v>
      </c>
      <c r="H83" s="30">
        <v>0</v>
      </c>
    </row>
    <row r="84" spans="3:8">
      <c r="C84" s="26"/>
      <c r="D84" s="27"/>
      <c r="E84" s="22"/>
      <c r="F84" s="32"/>
      <c r="G84" s="29">
        <v>0</v>
      </c>
      <c r="H84" s="30">
        <v>0</v>
      </c>
    </row>
    <row r="85" spans="3:8">
      <c r="C85" s="22"/>
      <c r="D85" s="27"/>
      <c r="E85" s="22"/>
      <c r="F85" s="32"/>
      <c r="G85" s="30">
        <v>0</v>
      </c>
      <c r="H85" s="30">
        <v>0</v>
      </c>
    </row>
    <row r="86" spans="3:8">
      <c r="C86" s="26"/>
      <c r="D86" s="31"/>
      <c r="E86" s="22"/>
      <c r="F86" s="32"/>
      <c r="G86" s="33">
        <v>0</v>
      </c>
      <c r="H86" s="30">
        <v>0</v>
      </c>
    </row>
    <row r="87" spans="3:8">
      <c r="C87" s="34" t="s">
        <v>15</v>
      </c>
      <c r="D87" s="34"/>
      <c r="E87" s="34"/>
      <c r="F87" s="35"/>
      <c r="G87" s="34"/>
      <c r="H87" s="36">
        <v>0</v>
      </c>
    </row>
    <row r="88" spans="3:8">
      <c r="C88" s="37" t="s">
        <v>16</v>
      </c>
      <c r="D88" s="38" t="s">
        <v>17</v>
      </c>
      <c r="E88" s="39"/>
      <c r="F88" s="40"/>
      <c r="G88" s="41"/>
      <c r="H88" s="41"/>
    </row>
    <row r="89" spans="3:8">
      <c r="C89" s="22"/>
      <c r="D89" s="42"/>
      <c r="E89" s="22"/>
      <c r="F89" s="43"/>
      <c r="G89" s="30"/>
      <c r="H89" s="44"/>
    </row>
    <row r="90" spans="3:8">
      <c r="C90" s="22"/>
      <c r="D90" s="42"/>
      <c r="E90" s="22"/>
      <c r="F90" s="43"/>
      <c r="G90" s="30">
        <v>0</v>
      </c>
      <c r="H90" s="44">
        <v>0</v>
      </c>
    </row>
    <row r="91" spans="3:8">
      <c r="C91" s="22"/>
      <c r="D91" s="27"/>
      <c r="E91" s="22"/>
      <c r="F91" s="32"/>
      <c r="G91" s="30">
        <v>0</v>
      </c>
      <c r="H91" s="44">
        <v>0</v>
      </c>
    </row>
    <row r="92" spans="3:8">
      <c r="C92" s="34" t="s">
        <v>18</v>
      </c>
      <c r="D92" s="34"/>
      <c r="E92" s="34"/>
      <c r="F92" s="35"/>
      <c r="G92" s="34"/>
      <c r="H92" s="36">
        <v>0</v>
      </c>
    </row>
    <row r="93" spans="3:8">
      <c r="C93" s="37" t="s">
        <v>19</v>
      </c>
      <c r="D93" s="38" t="s">
        <v>20</v>
      </c>
      <c r="E93" s="39"/>
      <c r="F93" s="46"/>
      <c r="G93" s="47"/>
      <c r="H93" s="47">
        <v>0</v>
      </c>
    </row>
    <row r="94" spans="3:8">
      <c r="C94" s="28"/>
      <c r="D94" s="48"/>
      <c r="E94" s="28"/>
      <c r="F94" s="23"/>
      <c r="G94" s="33"/>
      <c r="H94" s="30"/>
    </row>
    <row r="95" spans="3:8">
      <c r="C95" s="28"/>
      <c r="D95" s="48"/>
      <c r="E95" s="28"/>
      <c r="F95" s="23"/>
      <c r="G95" s="33"/>
      <c r="H95" s="30"/>
    </row>
    <row r="96" spans="3:8">
      <c r="C96" s="28"/>
      <c r="D96" s="48"/>
      <c r="E96" s="28"/>
      <c r="F96" s="23"/>
      <c r="G96" s="33"/>
      <c r="H96" s="30"/>
    </row>
    <row r="97" spans="3:8">
      <c r="C97" s="28"/>
      <c r="D97" s="48"/>
      <c r="E97" s="28"/>
      <c r="F97" s="23"/>
      <c r="G97" s="33"/>
      <c r="H97" s="30"/>
    </row>
    <row r="98" spans="3:8">
      <c r="C98" s="28"/>
      <c r="D98" s="48"/>
      <c r="E98" s="28"/>
      <c r="F98" s="23"/>
      <c r="G98" s="33"/>
      <c r="H98" s="30"/>
    </row>
    <row r="99" spans="3:8">
      <c r="C99" s="28"/>
      <c r="D99" s="48"/>
      <c r="E99" s="28"/>
      <c r="F99" s="23"/>
      <c r="G99" s="33"/>
      <c r="H99" s="30"/>
    </row>
    <row r="100" spans="3:8">
      <c r="C100" s="28"/>
      <c r="D100" s="48"/>
      <c r="E100" s="28"/>
      <c r="F100" s="23"/>
      <c r="G100" s="33"/>
      <c r="H100" s="30"/>
    </row>
    <row r="101" spans="3:8">
      <c r="C101" s="28"/>
      <c r="D101" s="48"/>
      <c r="E101" s="28"/>
      <c r="F101" s="23"/>
      <c r="G101" s="33"/>
      <c r="H101" s="30"/>
    </row>
    <row r="102" spans="3:8">
      <c r="C102" s="28"/>
      <c r="D102" s="48"/>
      <c r="E102" s="28"/>
      <c r="F102" s="23"/>
      <c r="G102" s="33"/>
      <c r="H102" s="30"/>
    </row>
    <row r="103" spans="3:8">
      <c r="C103" s="28"/>
      <c r="D103" s="48"/>
      <c r="E103" s="28"/>
      <c r="F103" s="23"/>
      <c r="G103" s="33"/>
      <c r="H103" s="30"/>
    </row>
    <row r="104" spans="3:8">
      <c r="C104" s="28"/>
      <c r="D104" s="48"/>
      <c r="E104" s="28"/>
      <c r="F104" s="23"/>
      <c r="G104" s="33"/>
      <c r="H104" s="30"/>
    </row>
    <row r="105" spans="3:8">
      <c r="C105" s="28"/>
      <c r="D105" s="48"/>
      <c r="E105" s="28"/>
      <c r="F105" s="23"/>
      <c r="G105" s="33"/>
      <c r="H105" s="30"/>
    </row>
    <row r="106" spans="3:8">
      <c r="C106" s="28"/>
      <c r="D106" s="48"/>
      <c r="E106" s="28"/>
      <c r="F106" s="23"/>
      <c r="G106" s="33"/>
      <c r="H106" s="30"/>
    </row>
    <row r="107" spans="3:8">
      <c r="C107" s="28"/>
      <c r="D107" s="48"/>
      <c r="E107" s="28"/>
      <c r="F107" s="23"/>
      <c r="G107" s="33"/>
      <c r="H107" s="30"/>
    </row>
    <row r="108" spans="3:8">
      <c r="C108" s="28"/>
      <c r="D108" s="48"/>
      <c r="E108" s="28"/>
      <c r="F108" s="23"/>
      <c r="G108" s="33"/>
      <c r="H108" s="30"/>
    </row>
    <row r="109" spans="3:8">
      <c r="C109" s="28"/>
      <c r="D109" s="48"/>
      <c r="E109" s="28"/>
      <c r="F109" s="23"/>
      <c r="G109" s="33"/>
      <c r="H109" s="30"/>
    </row>
    <row r="110" spans="3:8">
      <c r="C110" s="28"/>
      <c r="D110" s="48"/>
      <c r="E110" s="28"/>
      <c r="F110" s="23"/>
      <c r="G110" s="33"/>
      <c r="H110" s="30"/>
    </row>
    <row r="111" spans="3:8">
      <c r="C111" s="28"/>
      <c r="D111" s="48"/>
      <c r="E111" s="28"/>
      <c r="F111" s="23"/>
      <c r="G111" s="33"/>
      <c r="H111" s="30"/>
    </row>
    <row r="112" spans="3:8">
      <c r="C112" s="28"/>
      <c r="D112" s="48"/>
      <c r="E112" s="28"/>
      <c r="F112" s="23"/>
      <c r="G112" s="33"/>
      <c r="H112" s="30"/>
    </row>
    <row r="113" spans="3:8">
      <c r="C113" s="28"/>
      <c r="D113" s="48"/>
      <c r="E113" s="28"/>
      <c r="F113" s="23"/>
      <c r="G113" s="33"/>
      <c r="H113" s="30"/>
    </row>
    <row r="114" spans="3:8">
      <c r="C114" s="28"/>
      <c r="D114" s="48"/>
      <c r="E114" s="28"/>
      <c r="F114" s="23"/>
      <c r="G114" s="33"/>
      <c r="H114" s="33"/>
    </row>
    <row r="115" spans="3:8">
      <c r="C115" s="22"/>
      <c r="D115" s="42"/>
      <c r="E115" s="22"/>
      <c r="F115" s="43"/>
      <c r="G115" s="33">
        <v>0</v>
      </c>
      <c r="H115" s="33">
        <v>0</v>
      </c>
    </row>
    <row r="116" spans="3:8">
      <c r="C116" s="28"/>
      <c r="D116" s="48"/>
      <c r="E116" s="28"/>
      <c r="F116" s="23"/>
      <c r="G116" s="33">
        <v>0</v>
      </c>
      <c r="H116" s="44">
        <v>0</v>
      </c>
    </row>
    <row r="117" spans="3:8">
      <c r="C117" s="28"/>
      <c r="D117" s="48"/>
      <c r="E117" s="28"/>
      <c r="F117" s="23"/>
      <c r="G117" s="33">
        <v>0</v>
      </c>
      <c r="H117" s="44">
        <v>0</v>
      </c>
    </row>
    <row r="118" spans="3:8">
      <c r="C118" s="22"/>
      <c r="D118" s="27"/>
      <c r="E118" s="22"/>
      <c r="F118" s="64"/>
      <c r="G118" s="65">
        <v>0</v>
      </c>
      <c r="H118" s="44">
        <v>0</v>
      </c>
    </row>
    <row r="119" spans="3:8">
      <c r="C119" s="34" t="s">
        <v>21</v>
      </c>
      <c r="D119" s="34"/>
      <c r="E119" s="34"/>
      <c r="F119" s="35"/>
      <c r="G119" s="34"/>
      <c r="H119" s="36">
        <v>0</v>
      </c>
    </row>
    <row r="120" spans="3:8" ht="15.75">
      <c r="C120" s="49" t="s">
        <v>22</v>
      </c>
      <c r="D120" s="50"/>
      <c r="E120" s="50"/>
      <c r="F120" s="51"/>
      <c r="G120" s="52"/>
      <c r="H120" s="36">
        <v>0</v>
      </c>
    </row>
    <row r="121" spans="3:8" ht="15.75">
      <c r="C121" s="49" t="s">
        <v>23</v>
      </c>
      <c r="D121" s="50"/>
      <c r="E121" s="50"/>
      <c r="F121" s="51"/>
      <c r="G121" s="52"/>
      <c r="H121" s="53">
        <v>0</v>
      </c>
    </row>
    <row r="122" spans="3:8" ht="15.75">
      <c r="C122" s="49" t="s">
        <v>24</v>
      </c>
      <c r="D122" s="50"/>
      <c r="E122" s="50"/>
      <c r="F122" s="51"/>
      <c r="G122" s="52"/>
      <c r="H122" s="36">
        <v>0</v>
      </c>
    </row>
    <row r="123" spans="3:8">
      <c r="C123" s="4"/>
      <c r="D123" s="4"/>
      <c r="E123" s="4"/>
      <c r="F123" s="4"/>
      <c r="G123" s="4"/>
      <c r="H123" s="4"/>
    </row>
    <row r="124" spans="3:8">
      <c r="C124" s="5" t="s">
        <v>1</v>
      </c>
      <c r="D124" s="6" t="s">
        <v>41</v>
      </c>
      <c r="E124" s="6"/>
      <c r="F124" s="7"/>
      <c r="G124" s="8"/>
      <c r="H124" s="9"/>
    </row>
    <row r="125" spans="3:8">
      <c r="C125" s="10" t="s">
        <v>3</v>
      </c>
      <c r="D125" s="11" t="s">
        <v>42</v>
      </c>
      <c r="E125" s="12"/>
      <c r="F125" s="13" t="s">
        <v>5</v>
      </c>
      <c r="G125" s="14" t="s">
        <v>43</v>
      </c>
      <c r="H125" s="15">
        <v>122923.33</v>
      </c>
    </row>
    <row r="126" spans="3:8">
      <c r="C126" s="16" t="s">
        <v>7</v>
      </c>
      <c r="D126" s="16" t="s">
        <v>8</v>
      </c>
      <c r="E126" s="16" t="s">
        <v>9</v>
      </c>
      <c r="F126" s="17" t="s">
        <v>10</v>
      </c>
      <c r="G126" s="18" t="s">
        <v>11</v>
      </c>
      <c r="H126" s="18" t="s">
        <v>12</v>
      </c>
    </row>
    <row r="127" spans="3:8">
      <c r="C127" s="16"/>
      <c r="D127" s="16"/>
      <c r="E127" s="16"/>
      <c r="F127" s="17"/>
      <c r="G127" s="19"/>
      <c r="H127" s="19"/>
    </row>
    <row r="128" spans="3:8">
      <c r="C128" s="20" t="s">
        <v>13</v>
      </c>
      <c r="D128" s="21" t="s">
        <v>14</v>
      </c>
      <c r="E128" s="22"/>
      <c r="F128" s="23"/>
      <c r="G128" s="24"/>
      <c r="H128" s="25"/>
    </row>
    <row r="129" spans="3:10">
      <c r="C129" s="22"/>
      <c r="D129" s="66" t="s">
        <v>44</v>
      </c>
      <c r="E129" s="22"/>
      <c r="F129" s="32"/>
      <c r="G129" s="29"/>
      <c r="H129" s="30">
        <v>0</v>
      </c>
    </row>
    <row r="130" spans="3:10">
      <c r="C130" s="22" t="s">
        <v>27</v>
      </c>
      <c r="D130" s="48" t="s">
        <v>45</v>
      </c>
      <c r="E130" s="22" t="s">
        <v>29</v>
      </c>
      <c r="F130" s="32">
        <v>132</v>
      </c>
      <c r="G130" s="29">
        <v>44.933633313323234</v>
      </c>
      <c r="H130" s="30">
        <v>5931.2395973586672</v>
      </c>
    </row>
    <row r="131" spans="3:10">
      <c r="C131" s="34" t="s">
        <v>15</v>
      </c>
      <c r="D131" s="34"/>
      <c r="E131" s="34"/>
      <c r="F131" s="35"/>
      <c r="G131" s="34"/>
      <c r="H131" s="36">
        <v>5931.2395973586672</v>
      </c>
    </row>
    <row r="132" spans="3:10">
      <c r="C132" s="37" t="s">
        <v>16</v>
      </c>
      <c r="D132" s="38" t="s">
        <v>17</v>
      </c>
      <c r="E132" s="39"/>
      <c r="F132" s="40"/>
      <c r="G132" s="41"/>
      <c r="H132" s="41"/>
    </row>
    <row r="133" spans="3:10">
      <c r="C133" s="59" t="s">
        <v>31</v>
      </c>
      <c r="D133" s="67" t="s">
        <v>46</v>
      </c>
      <c r="E133" s="59" t="s">
        <v>47</v>
      </c>
      <c r="F133" s="68">
        <v>2</v>
      </c>
      <c r="G133" s="63">
        <v>1089</v>
      </c>
      <c r="H133" s="69">
        <v>2178</v>
      </c>
    </row>
    <row r="134" spans="3:10">
      <c r="C134" s="59" t="s">
        <v>31</v>
      </c>
      <c r="D134" s="67" t="s">
        <v>48</v>
      </c>
      <c r="E134" s="59" t="s">
        <v>47</v>
      </c>
      <c r="F134" s="68">
        <v>5</v>
      </c>
      <c r="G134" s="63">
        <v>1089</v>
      </c>
      <c r="H134" s="69">
        <v>5445</v>
      </c>
    </row>
    <row r="135" spans="3:10">
      <c r="C135" s="59" t="s">
        <v>31</v>
      </c>
      <c r="D135" s="67" t="s">
        <v>49</v>
      </c>
      <c r="E135" s="59" t="s">
        <v>47</v>
      </c>
      <c r="F135" s="68">
        <v>2</v>
      </c>
      <c r="G135" s="63">
        <v>1628.0000000000002</v>
      </c>
      <c r="H135" s="69">
        <v>3256.0000000000005</v>
      </c>
    </row>
    <row r="136" spans="3:10">
      <c r="C136" s="59" t="s">
        <v>31</v>
      </c>
      <c r="D136" s="67" t="s">
        <v>50</v>
      </c>
      <c r="E136" s="59" t="s">
        <v>47</v>
      </c>
      <c r="F136" s="68">
        <v>1</v>
      </c>
      <c r="G136" s="63">
        <v>1699.5000000000002</v>
      </c>
      <c r="H136" s="69">
        <v>1699.5000000000002</v>
      </c>
    </row>
    <row r="137" spans="3:10">
      <c r="C137" s="59" t="s">
        <v>31</v>
      </c>
      <c r="D137" s="67" t="s">
        <v>51</v>
      </c>
      <c r="E137" s="59" t="s">
        <v>47</v>
      </c>
      <c r="F137" s="68">
        <v>3</v>
      </c>
      <c r="G137" s="63">
        <v>1699.5000000000002</v>
      </c>
      <c r="H137" s="69">
        <v>5098.5000000000009</v>
      </c>
    </row>
    <row r="138" spans="3:10">
      <c r="C138" s="59" t="s">
        <v>31</v>
      </c>
      <c r="D138" s="67" t="s">
        <v>52</v>
      </c>
      <c r="E138" s="59" t="s">
        <v>47</v>
      </c>
      <c r="F138" s="68">
        <v>8</v>
      </c>
      <c r="G138" s="63">
        <v>850</v>
      </c>
      <c r="H138" s="69">
        <v>6800</v>
      </c>
    </row>
    <row r="139" spans="3:10">
      <c r="C139" s="59" t="s">
        <v>31</v>
      </c>
      <c r="D139" s="67" t="s">
        <v>53</v>
      </c>
      <c r="E139" s="59" t="s">
        <v>6</v>
      </c>
      <c r="F139" s="68">
        <v>1</v>
      </c>
      <c r="G139" s="63">
        <v>8000</v>
      </c>
      <c r="H139" s="69">
        <v>8000</v>
      </c>
    </row>
    <row r="140" spans="3:10">
      <c r="C140" s="59" t="s">
        <v>31</v>
      </c>
      <c r="D140" s="67" t="s">
        <v>54</v>
      </c>
      <c r="E140" s="59" t="s">
        <v>47</v>
      </c>
      <c r="F140" s="68">
        <v>1</v>
      </c>
      <c r="G140" s="63">
        <v>24268.303262650174</v>
      </c>
      <c r="H140" s="69">
        <v>24268.303262650174</v>
      </c>
    </row>
    <row r="141" spans="3:10">
      <c r="C141" s="34" t="s">
        <v>18</v>
      </c>
      <c r="D141" s="34"/>
      <c r="E141" s="34"/>
      <c r="F141" s="35"/>
      <c r="G141" s="34"/>
      <c r="H141" s="36">
        <v>56745.303262650174</v>
      </c>
    </row>
    <row r="142" spans="3:10">
      <c r="C142" s="37" t="s">
        <v>19</v>
      </c>
      <c r="D142" s="38" t="s">
        <v>20</v>
      </c>
      <c r="E142" s="39"/>
      <c r="F142" s="46"/>
      <c r="G142" s="47"/>
      <c r="H142" s="47">
        <v>0</v>
      </c>
    </row>
    <row r="143" spans="3:10">
      <c r="C143" s="90" t="s">
        <v>55</v>
      </c>
      <c r="D143" s="110" t="s">
        <v>56</v>
      </c>
      <c r="E143" s="90" t="s">
        <v>57</v>
      </c>
      <c r="F143" s="57">
        <v>1</v>
      </c>
      <c r="G143" s="91">
        <v>4500</v>
      </c>
      <c r="H143" s="91">
        <v>4500</v>
      </c>
    </row>
    <row r="144" spans="3:10">
      <c r="C144" s="104" t="s">
        <v>55</v>
      </c>
      <c r="D144" s="104" t="s">
        <v>58</v>
      </c>
      <c r="E144" s="105" t="s">
        <v>57</v>
      </c>
      <c r="F144" s="106">
        <v>1</v>
      </c>
      <c r="G144" s="105">
        <v>2200</v>
      </c>
      <c r="H144" s="107">
        <v>2200</v>
      </c>
      <c r="I144" s="108"/>
      <c r="J144" s="33"/>
    </row>
    <row r="145" spans="3:10">
      <c r="C145" s="104" t="s">
        <v>55</v>
      </c>
      <c r="D145" s="104" t="s">
        <v>59</v>
      </c>
      <c r="E145" s="105" t="s">
        <v>57</v>
      </c>
      <c r="F145" s="106">
        <v>1</v>
      </c>
      <c r="G145" s="105">
        <v>1500</v>
      </c>
      <c r="H145" s="107">
        <v>1500</v>
      </c>
      <c r="I145" s="108"/>
      <c r="J145" s="44"/>
    </row>
    <row r="146" spans="3:10">
      <c r="C146" s="104" t="s">
        <v>55</v>
      </c>
      <c r="D146" s="104" t="s">
        <v>60</v>
      </c>
      <c r="E146" s="105" t="s">
        <v>57</v>
      </c>
      <c r="F146" s="106">
        <v>1</v>
      </c>
      <c r="G146" s="105">
        <v>1950</v>
      </c>
      <c r="H146" s="107">
        <v>1950</v>
      </c>
      <c r="I146" s="108"/>
      <c r="J146" s="44"/>
    </row>
    <row r="147" spans="3:10">
      <c r="C147" s="104" t="s">
        <v>55</v>
      </c>
      <c r="D147" s="104" t="s">
        <v>61</v>
      </c>
      <c r="E147" s="105" t="s">
        <v>57</v>
      </c>
      <c r="F147" s="106">
        <v>1</v>
      </c>
      <c r="G147" s="105">
        <v>24000</v>
      </c>
      <c r="H147" s="107">
        <v>24000</v>
      </c>
      <c r="I147" s="108"/>
      <c r="J147" s="44"/>
    </row>
    <row r="148" spans="3:10">
      <c r="C148" s="104" t="s">
        <v>55</v>
      </c>
      <c r="D148" s="104" t="s">
        <v>62</v>
      </c>
      <c r="E148" s="105" t="s">
        <v>63</v>
      </c>
      <c r="F148" s="106">
        <v>1</v>
      </c>
      <c r="G148" s="105">
        <v>1800</v>
      </c>
      <c r="H148" s="107">
        <v>1800</v>
      </c>
      <c r="I148" s="109"/>
      <c r="J148" s="44"/>
    </row>
    <row r="149" spans="3:10">
      <c r="C149" s="111" t="s">
        <v>21</v>
      </c>
      <c r="D149" s="111"/>
      <c r="E149" s="111"/>
      <c r="F149" s="112"/>
      <c r="G149" s="111"/>
      <c r="H149" s="113">
        <v>35950</v>
      </c>
    </row>
    <row r="150" spans="3:10" ht="15.75">
      <c r="C150" s="49" t="s">
        <v>22</v>
      </c>
      <c r="D150" s="50"/>
      <c r="E150" s="50"/>
      <c r="F150" s="51"/>
      <c r="G150" s="52"/>
      <c r="H150" s="36">
        <v>98626.542860008849</v>
      </c>
    </row>
    <row r="151" spans="3:10" ht="15.75">
      <c r="C151" s="49" t="s">
        <v>23</v>
      </c>
      <c r="D151" s="50"/>
      <c r="E151" s="50"/>
      <c r="F151" s="51"/>
      <c r="G151" s="52"/>
      <c r="H151" s="53">
        <v>24296.789893125329</v>
      </c>
    </row>
    <row r="152" spans="3:10" ht="15.75">
      <c r="C152" s="49" t="s">
        <v>24</v>
      </c>
      <c r="D152" s="50"/>
      <c r="E152" s="50"/>
      <c r="F152" s="51"/>
      <c r="G152" s="52"/>
      <c r="H152" s="36">
        <v>122923.33</v>
      </c>
    </row>
    <row r="153" spans="3:10">
      <c r="C153" s="4"/>
      <c r="D153" s="4"/>
      <c r="E153" s="4"/>
      <c r="F153" s="4"/>
      <c r="G153" s="4"/>
      <c r="H153" s="4"/>
    </row>
    <row r="154" spans="3:10">
      <c r="C154" s="5" t="s">
        <v>1</v>
      </c>
      <c r="D154" s="6" t="s">
        <v>64</v>
      </c>
      <c r="E154" s="6"/>
      <c r="F154" s="7"/>
      <c r="G154" s="8"/>
      <c r="H154" s="9"/>
    </row>
    <row r="155" spans="3:10">
      <c r="C155" s="10" t="s">
        <v>3</v>
      </c>
      <c r="D155" s="11" t="s">
        <v>65</v>
      </c>
      <c r="E155" s="12"/>
      <c r="F155" s="13" t="s">
        <v>5</v>
      </c>
      <c r="G155" s="14" t="s">
        <v>6</v>
      </c>
      <c r="H155" s="15">
        <v>7847042.3600000003</v>
      </c>
    </row>
    <row r="156" spans="3:10">
      <c r="C156" s="16" t="s">
        <v>7</v>
      </c>
      <c r="D156" s="16" t="s">
        <v>8</v>
      </c>
      <c r="E156" s="16" t="s">
        <v>9</v>
      </c>
      <c r="F156" s="17" t="s">
        <v>10</v>
      </c>
      <c r="G156" s="18" t="s">
        <v>11</v>
      </c>
      <c r="H156" s="18" t="s">
        <v>12</v>
      </c>
    </row>
    <row r="157" spans="3:10">
      <c r="C157" s="16"/>
      <c r="D157" s="16"/>
      <c r="E157" s="16"/>
      <c r="F157" s="17"/>
      <c r="G157" s="19"/>
      <c r="H157" s="19"/>
    </row>
    <row r="158" spans="3:10">
      <c r="C158" s="20" t="s">
        <v>13</v>
      </c>
      <c r="D158" s="21" t="s">
        <v>14</v>
      </c>
      <c r="E158" s="22"/>
      <c r="F158" s="23"/>
      <c r="G158" s="24"/>
      <c r="H158" s="25"/>
    </row>
    <row r="159" spans="3:10">
      <c r="C159" s="22"/>
      <c r="D159" s="66" t="s">
        <v>66</v>
      </c>
      <c r="E159" s="22"/>
      <c r="F159" s="32"/>
      <c r="G159" s="29"/>
      <c r="H159" s="30">
        <v>0</v>
      </c>
    </row>
    <row r="160" spans="3:10">
      <c r="C160" s="59" t="s">
        <v>67</v>
      </c>
      <c r="D160" s="60" t="s">
        <v>68</v>
      </c>
      <c r="E160" s="59" t="s">
        <v>57</v>
      </c>
      <c r="F160" s="61">
        <v>14</v>
      </c>
      <c r="G160" s="62">
        <v>8044.6775517075575</v>
      </c>
      <c r="H160" s="63">
        <v>112625.4857239058</v>
      </c>
    </row>
    <row r="161" spans="3:8">
      <c r="C161" s="59" t="s">
        <v>67</v>
      </c>
      <c r="D161" s="60" t="s">
        <v>69</v>
      </c>
      <c r="E161" s="59" t="s">
        <v>57</v>
      </c>
      <c r="F161" s="61">
        <v>14</v>
      </c>
      <c r="G161" s="62">
        <v>11800.972335859202</v>
      </c>
      <c r="H161" s="63">
        <v>165213.61270202883</v>
      </c>
    </row>
    <row r="162" spans="3:8">
      <c r="C162" s="59" t="s">
        <v>67</v>
      </c>
      <c r="D162" s="60" t="s">
        <v>70</v>
      </c>
      <c r="E162" s="59" t="s">
        <v>57</v>
      </c>
      <c r="F162" s="61">
        <v>14</v>
      </c>
      <c r="G162" s="62">
        <v>14897.717313356021</v>
      </c>
      <c r="H162" s="63">
        <v>208568.04238698428</v>
      </c>
    </row>
    <row r="163" spans="3:8">
      <c r="C163" s="59" t="s">
        <v>67</v>
      </c>
      <c r="D163" s="60" t="s">
        <v>71</v>
      </c>
      <c r="E163" s="59" t="s">
        <v>57</v>
      </c>
      <c r="F163" s="61">
        <v>0</v>
      </c>
      <c r="G163" s="62">
        <v>7000.0051697816816</v>
      </c>
      <c r="H163" s="63">
        <v>0</v>
      </c>
    </row>
    <row r="164" spans="3:8">
      <c r="C164" s="59" t="s">
        <v>67</v>
      </c>
      <c r="D164" s="60" t="s">
        <v>72</v>
      </c>
      <c r="E164" s="59" t="s">
        <v>57</v>
      </c>
      <c r="F164" s="61">
        <v>12</v>
      </c>
      <c r="G164" s="62">
        <v>6735.9354066092055</v>
      </c>
      <c r="H164" s="63">
        <v>80831.224879310466</v>
      </c>
    </row>
    <row r="165" spans="3:8">
      <c r="C165" s="59" t="s">
        <v>67</v>
      </c>
      <c r="D165" s="60" t="s">
        <v>73</v>
      </c>
      <c r="E165" s="59" t="s">
        <v>57</v>
      </c>
      <c r="F165" s="61">
        <v>0</v>
      </c>
      <c r="G165" s="62">
        <v>6735.9354066092055</v>
      </c>
      <c r="H165" s="63">
        <v>0</v>
      </c>
    </row>
    <row r="166" spans="3:8">
      <c r="C166" s="59" t="s">
        <v>67</v>
      </c>
      <c r="D166" s="60" t="s">
        <v>74</v>
      </c>
      <c r="E166" s="59" t="s">
        <v>57</v>
      </c>
      <c r="F166" s="61">
        <v>18</v>
      </c>
      <c r="G166" s="62">
        <v>16108.186879869489</v>
      </c>
      <c r="H166" s="63">
        <v>289947.3638376508</v>
      </c>
    </row>
    <row r="167" spans="3:8">
      <c r="C167" s="59" t="s">
        <v>67</v>
      </c>
      <c r="D167" s="60" t="s">
        <v>75</v>
      </c>
      <c r="E167" s="59" t="s">
        <v>57</v>
      </c>
      <c r="F167" s="61">
        <v>11</v>
      </c>
      <c r="G167" s="62">
        <v>21507.921986157147</v>
      </c>
      <c r="H167" s="63">
        <v>236587.14184772864</v>
      </c>
    </row>
    <row r="168" spans="3:8">
      <c r="C168" s="59" t="s">
        <v>67</v>
      </c>
      <c r="D168" s="60" t="s">
        <v>76</v>
      </c>
      <c r="E168" s="59" t="s">
        <v>57</v>
      </c>
      <c r="F168" s="61">
        <v>29.5</v>
      </c>
      <c r="G168" s="62">
        <v>14242.381258533325</v>
      </c>
      <c r="H168" s="63">
        <v>420150.24712673307</v>
      </c>
    </row>
    <row r="169" spans="3:8">
      <c r="C169" s="59" t="s">
        <v>67</v>
      </c>
      <c r="D169" s="60" t="s">
        <v>77</v>
      </c>
      <c r="E169" s="59" t="s">
        <v>57</v>
      </c>
      <c r="F169" s="61">
        <v>3</v>
      </c>
      <c r="G169" s="62">
        <v>16108.186879869489</v>
      </c>
      <c r="H169" s="63">
        <v>48324.560639608462</v>
      </c>
    </row>
    <row r="170" spans="3:8">
      <c r="C170" s="59" t="s">
        <v>67</v>
      </c>
      <c r="D170" s="60" t="s">
        <v>78</v>
      </c>
      <c r="E170" s="59" t="s">
        <v>57</v>
      </c>
      <c r="F170" s="61">
        <v>14</v>
      </c>
      <c r="G170" s="62">
        <v>27464.311455666666</v>
      </c>
      <c r="H170" s="63">
        <v>384500.36037933332</v>
      </c>
    </row>
    <row r="171" spans="3:8">
      <c r="C171" s="59" t="s">
        <v>67</v>
      </c>
      <c r="D171" s="60" t="s">
        <v>79</v>
      </c>
      <c r="E171" s="59" t="s">
        <v>57</v>
      </c>
      <c r="F171" s="61">
        <v>13</v>
      </c>
      <c r="G171" s="62">
        <v>27043.860244386669</v>
      </c>
      <c r="H171" s="63">
        <v>351570.18317702669</v>
      </c>
    </row>
    <row r="172" spans="3:8">
      <c r="C172" s="59" t="s">
        <v>67</v>
      </c>
      <c r="D172" s="60" t="s">
        <v>80</v>
      </c>
      <c r="E172" s="59" t="s">
        <v>57</v>
      </c>
      <c r="F172" s="61">
        <v>13</v>
      </c>
      <c r="G172" s="62">
        <v>27464.311455666666</v>
      </c>
      <c r="H172" s="63">
        <v>357036.04892366665</v>
      </c>
    </row>
    <row r="173" spans="3:8">
      <c r="C173" s="59" t="s">
        <v>67</v>
      </c>
      <c r="D173" s="60" t="s">
        <v>81</v>
      </c>
      <c r="E173" s="59" t="s">
        <v>57</v>
      </c>
      <c r="F173" s="61">
        <v>15</v>
      </c>
      <c r="G173" s="62">
        <v>32238.56115666667</v>
      </c>
      <c r="H173" s="63">
        <v>483578.41735000006</v>
      </c>
    </row>
    <row r="174" spans="3:8">
      <c r="C174" s="59" t="s">
        <v>67</v>
      </c>
      <c r="D174" s="60" t="s">
        <v>82</v>
      </c>
      <c r="E174" s="59" t="s">
        <v>57</v>
      </c>
      <c r="F174" s="61">
        <v>14</v>
      </c>
      <c r="G174" s="62">
        <v>10516.716940246264</v>
      </c>
      <c r="H174" s="63">
        <v>147234.03716344771</v>
      </c>
    </row>
    <row r="175" spans="3:8">
      <c r="C175" s="59" t="s">
        <v>67</v>
      </c>
      <c r="D175" s="60" t="s">
        <v>83</v>
      </c>
      <c r="E175" s="59" t="s">
        <v>57</v>
      </c>
      <c r="F175" s="61">
        <v>11</v>
      </c>
      <c r="G175" s="62">
        <v>7837.4543666484105</v>
      </c>
      <c r="H175" s="63">
        <v>86211.998033132521</v>
      </c>
    </row>
    <row r="176" spans="3:8">
      <c r="C176" s="59" t="s">
        <v>67</v>
      </c>
      <c r="D176" s="71" t="s">
        <v>84</v>
      </c>
      <c r="E176" s="59" t="s">
        <v>57</v>
      </c>
      <c r="F176" s="61">
        <v>18</v>
      </c>
      <c r="G176" s="62">
        <v>19366.93723481601</v>
      </c>
      <c r="H176" s="63">
        <v>348604.87022668822</v>
      </c>
    </row>
    <row r="177" spans="3:8">
      <c r="C177" s="59" t="s">
        <v>67</v>
      </c>
      <c r="D177" s="60" t="s">
        <v>85</v>
      </c>
      <c r="E177" s="59" t="s">
        <v>57</v>
      </c>
      <c r="F177" s="61">
        <v>14</v>
      </c>
      <c r="G177" s="62">
        <v>11883.056998585213</v>
      </c>
      <c r="H177" s="63">
        <v>166362.79798019299</v>
      </c>
    </row>
    <row r="178" spans="3:8">
      <c r="C178" s="59" t="s">
        <v>67</v>
      </c>
      <c r="D178" s="60" t="s">
        <v>86</v>
      </c>
      <c r="E178" s="59" t="s">
        <v>57</v>
      </c>
      <c r="F178" s="61">
        <v>36</v>
      </c>
      <c r="G178" s="62">
        <v>12459.719718500324</v>
      </c>
      <c r="H178" s="63">
        <v>448549.9098660117</v>
      </c>
    </row>
    <row r="179" spans="3:8">
      <c r="C179" s="59" t="s">
        <v>67</v>
      </c>
      <c r="D179" s="60" t="s">
        <v>87</v>
      </c>
      <c r="E179" s="59" t="s">
        <v>57</v>
      </c>
      <c r="F179" s="61">
        <v>14</v>
      </c>
      <c r="G179" s="62">
        <v>14920.261740677808</v>
      </c>
      <c r="H179" s="63">
        <v>208883.6643694893</v>
      </c>
    </row>
    <row r="180" spans="3:8">
      <c r="C180" s="59" t="s">
        <v>67</v>
      </c>
      <c r="D180" s="60" t="s">
        <v>88</v>
      </c>
      <c r="E180" s="59" t="s">
        <v>57</v>
      </c>
      <c r="F180" s="61">
        <v>11</v>
      </c>
      <c r="G180" s="62">
        <v>11883.056998585213</v>
      </c>
      <c r="H180" s="63">
        <v>130713.62698443735</v>
      </c>
    </row>
    <row r="181" spans="3:8">
      <c r="C181" s="59" t="s">
        <v>67</v>
      </c>
      <c r="D181" s="60" t="s">
        <v>89</v>
      </c>
      <c r="E181" s="59" t="s">
        <v>57</v>
      </c>
      <c r="F181" s="61">
        <v>13</v>
      </c>
      <c r="G181" s="62">
        <v>10243.331301613183</v>
      </c>
      <c r="H181" s="63">
        <v>133163.30692097137</v>
      </c>
    </row>
    <row r="182" spans="3:8">
      <c r="C182" s="34" t="s">
        <v>15</v>
      </c>
      <c r="D182" s="34"/>
      <c r="E182" s="34"/>
      <c r="F182" s="35"/>
      <c r="G182" s="34"/>
      <c r="H182" s="36">
        <v>4808656.9005183475</v>
      </c>
    </row>
    <row r="183" spans="3:8">
      <c r="C183" s="37" t="s">
        <v>16</v>
      </c>
      <c r="D183" s="38" t="s">
        <v>17</v>
      </c>
      <c r="E183" s="39"/>
      <c r="F183" s="40"/>
      <c r="G183" s="41"/>
      <c r="H183" s="41"/>
    </row>
    <row r="184" spans="3:8">
      <c r="C184" s="59" t="s">
        <v>31</v>
      </c>
      <c r="D184" s="67" t="s">
        <v>90</v>
      </c>
      <c r="E184" s="59" t="s">
        <v>47</v>
      </c>
      <c r="F184" s="68">
        <v>46</v>
      </c>
      <c r="G184" s="63">
        <v>25500</v>
      </c>
      <c r="H184" s="69">
        <v>1173000</v>
      </c>
    </row>
    <row r="185" spans="3:8">
      <c r="C185" s="59" t="s">
        <v>31</v>
      </c>
      <c r="D185" s="67" t="s">
        <v>91</v>
      </c>
      <c r="E185" s="59" t="s">
        <v>47</v>
      </c>
      <c r="F185" s="68">
        <v>80</v>
      </c>
      <c r="G185" s="63">
        <v>1700</v>
      </c>
      <c r="H185" s="69">
        <v>136000</v>
      </c>
    </row>
    <row r="186" spans="3:8">
      <c r="C186" s="59" t="s">
        <v>31</v>
      </c>
      <c r="D186" s="67" t="s">
        <v>92</v>
      </c>
      <c r="E186" s="59" t="s">
        <v>47</v>
      </c>
      <c r="F186" s="68">
        <v>67</v>
      </c>
      <c r="G186" s="63">
        <v>3500</v>
      </c>
      <c r="H186" s="69">
        <v>234500</v>
      </c>
    </row>
    <row r="187" spans="3:8">
      <c r="C187" s="34" t="s">
        <v>18</v>
      </c>
      <c r="D187" s="34"/>
      <c r="E187" s="34"/>
      <c r="F187" s="35"/>
      <c r="G187" s="34"/>
      <c r="H187" s="36">
        <v>1543500</v>
      </c>
    </row>
    <row r="188" spans="3:8">
      <c r="C188" s="37" t="s">
        <v>19</v>
      </c>
      <c r="D188" s="38" t="s">
        <v>20</v>
      </c>
      <c r="E188" s="39"/>
      <c r="F188" s="46"/>
      <c r="G188" s="47"/>
      <c r="H188" s="47">
        <v>0</v>
      </c>
    </row>
    <row r="189" spans="3:8">
      <c r="C189" s="28"/>
      <c r="D189" s="70"/>
      <c r="E189" s="28"/>
      <c r="F189" s="23"/>
      <c r="G189" s="33"/>
      <c r="H189" s="33"/>
    </row>
    <row r="190" spans="3:8">
      <c r="C190" s="28"/>
      <c r="D190" s="70"/>
      <c r="E190" s="28"/>
      <c r="F190" s="23"/>
      <c r="G190" s="33"/>
      <c r="H190" s="33"/>
    </row>
    <row r="191" spans="3:8">
      <c r="C191" s="28"/>
      <c r="D191" s="70"/>
      <c r="E191" s="28"/>
      <c r="F191" s="23"/>
      <c r="G191" s="33"/>
      <c r="H191" s="33"/>
    </row>
    <row r="192" spans="3:8">
      <c r="C192" s="28"/>
      <c r="D192" s="70"/>
      <c r="E192" s="28"/>
      <c r="F192" s="23"/>
      <c r="G192" s="33"/>
      <c r="H192" s="33"/>
    </row>
    <row r="193" spans="3:8">
      <c r="C193" s="28"/>
      <c r="D193" s="70"/>
      <c r="E193" s="28"/>
      <c r="F193" s="23"/>
      <c r="G193" s="33"/>
      <c r="H193" s="33"/>
    </row>
    <row r="194" spans="3:8">
      <c r="C194" s="28"/>
      <c r="D194" s="70"/>
      <c r="E194" s="28"/>
      <c r="F194" s="23"/>
      <c r="G194" s="33"/>
      <c r="H194" s="33"/>
    </row>
    <row r="195" spans="3:8">
      <c r="C195" s="22"/>
      <c r="D195" s="42"/>
      <c r="E195" s="22"/>
      <c r="F195" s="64"/>
      <c r="G195" s="65"/>
      <c r="H195" s="44"/>
    </row>
    <row r="196" spans="3:8">
      <c r="C196" s="34" t="s">
        <v>21</v>
      </c>
      <c r="D196" s="34"/>
      <c r="E196" s="34"/>
      <c r="F196" s="35"/>
      <c r="G196" s="34"/>
      <c r="H196" s="36">
        <v>0</v>
      </c>
    </row>
    <row r="197" spans="3:8" ht="15.75">
      <c r="C197" s="49" t="s">
        <v>22</v>
      </c>
      <c r="D197" s="50"/>
      <c r="E197" s="50"/>
      <c r="F197" s="51"/>
      <c r="G197" s="52"/>
      <c r="H197" s="36">
        <v>6352156.9005183475</v>
      </c>
    </row>
    <row r="198" spans="3:8" ht="15.75">
      <c r="C198" s="49" t="s">
        <v>23</v>
      </c>
      <c r="D198" s="50"/>
      <c r="E198" s="50"/>
      <c r="F198" s="51"/>
      <c r="G198" s="52"/>
      <c r="H198" s="53">
        <v>1494885.4599649722</v>
      </c>
    </row>
    <row r="199" spans="3:8" ht="15.75">
      <c r="C199" s="49" t="s">
        <v>24</v>
      </c>
      <c r="D199" s="50"/>
      <c r="E199" s="50"/>
      <c r="F199" s="51"/>
      <c r="G199" s="52"/>
      <c r="H199" s="36">
        <v>7847042.3600000003</v>
      </c>
    </row>
    <row r="200" spans="3:8">
      <c r="C200" s="4"/>
      <c r="D200" s="4"/>
      <c r="E200" s="4"/>
      <c r="F200" s="4"/>
      <c r="G200" s="4"/>
      <c r="H200" s="4"/>
    </row>
    <row r="201" spans="3:8" ht="33.75" customHeight="1">
      <c r="C201" s="5" t="s">
        <v>1</v>
      </c>
      <c r="D201" s="6" t="s">
        <v>93</v>
      </c>
      <c r="E201" s="6"/>
      <c r="F201" s="7"/>
      <c r="G201" s="8"/>
      <c r="H201" s="9"/>
    </row>
    <row r="202" spans="3:8">
      <c r="C202" s="10" t="s">
        <v>3</v>
      </c>
      <c r="D202" s="11" t="s">
        <v>94</v>
      </c>
      <c r="E202" s="12"/>
      <c r="F202" s="13" t="s">
        <v>5</v>
      </c>
      <c r="G202" s="14" t="s">
        <v>6</v>
      </c>
      <c r="H202" s="15">
        <v>0</v>
      </c>
    </row>
    <row r="203" spans="3:8">
      <c r="C203" s="16" t="s">
        <v>7</v>
      </c>
      <c r="D203" s="16" t="s">
        <v>8</v>
      </c>
      <c r="E203" s="16" t="s">
        <v>9</v>
      </c>
      <c r="F203" s="17" t="s">
        <v>10</v>
      </c>
      <c r="G203" s="18" t="s">
        <v>11</v>
      </c>
      <c r="H203" s="18" t="s">
        <v>12</v>
      </c>
    </row>
    <row r="204" spans="3:8">
      <c r="C204" s="16"/>
      <c r="D204" s="16"/>
      <c r="E204" s="16"/>
      <c r="F204" s="17"/>
      <c r="G204" s="19"/>
      <c r="H204" s="19"/>
    </row>
    <row r="205" spans="3:8">
      <c r="C205" s="20" t="s">
        <v>13</v>
      </c>
      <c r="D205" s="21" t="s">
        <v>14</v>
      </c>
      <c r="E205" s="22"/>
      <c r="F205" s="23"/>
      <c r="G205" s="24"/>
      <c r="H205" s="25"/>
    </row>
    <row r="206" spans="3:8">
      <c r="C206" s="22"/>
      <c r="D206" s="58"/>
      <c r="E206" s="28"/>
      <c r="F206" s="32"/>
      <c r="G206" s="30"/>
      <c r="H206" s="72"/>
    </row>
    <row r="207" spans="3:8">
      <c r="C207" s="22"/>
      <c r="D207" s="58"/>
      <c r="E207" s="28"/>
      <c r="F207" s="32"/>
      <c r="G207" s="30"/>
      <c r="H207" s="72"/>
    </row>
    <row r="208" spans="3:8">
      <c r="C208" s="22"/>
      <c r="D208" s="58"/>
      <c r="E208" s="28"/>
      <c r="F208" s="32"/>
      <c r="G208" s="30"/>
      <c r="H208" s="72"/>
    </row>
    <row r="209" spans="3:8">
      <c r="C209" s="22"/>
      <c r="D209" s="58"/>
      <c r="E209" s="28"/>
      <c r="F209" s="32"/>
      <c r="G209" s="30"/>
      <c r="H209" s="72"/>
    </row>
    <row r="210" spans="3:8">
      <c r="C210" s="26"/>
      <c r="D210" s="48"/>
      <c r="E210" s="22"/>
      <c r="F210" s="43"/>
      <c r="G210" s="45">
        <v>0</v>
      </c>
      <c r="H210" s="30">
        <v>0</v>
      </c>
    </row>
    <row r="211" spans="3:8">
      <c r="C211" s="26"/>
      <c r="D211" s="48"/>
      <c r="E211" s="22"/>
      <c r="F211" s="43"/>
      <c r="G211" s="29">
        <v>0</v>
      </c>
      <c r="H211" s="30">
        <v>0</v>
      </c>
    </row>
    <row r="212" spans="3:8">
      <c r="C212" s="26"/>
      <c r="D212" s="27"/>
      <c r="E212" s="22"/>
      <c r="F212" s="32"/>
      <c r="G212" s="29">
        <v>0</v>
      </c>
      <c r="H212" s="30">
        <v>0</v>
      </c>
    </row>
    <row r="213" spans="3:8">
      <c r="C213" s="34" t="s">
        <v>15</v>
      </c>
      <c r="D213" s="34"/>
      <c r="E213" s="34"/>
      <c r="F213" s="35"/>
      <c r="G213" s="34"/>
      <c r="H213" s="36">
        <v>0</v>
      </c>
    </row>
    <row r="214" spans="3:8">
      <c r="C214" s="37" t="s">
        <v>16</v>
      </c>
      <c r="D214" s="38" t="s">
        <v>17</v>
      </c>
      <c r="E214" s="39"/>
      <c r="F214" s="40"/>
      <c r="G214" s="41"/>
      <c r="H214" s="41"/>
    </row>
    <row r="215" spans="3:8">
      <c r="C215" s="22"/>
      <c r="D215" s="58"/>
      <c r="E215" s="28"/>
      <c r="F215" s="32"/>
      <c r="G215" s="30"/>
      <c r="H215" s="72"/>
    </row>
    <row r="216" spans="3:8">
      <c r="C216" s="22"/>
      <c r="D216" s="27"/>
      <c r="E216" s="22"/>
      <c r="F216" s="43"/>
      <c r="G216" s="30"/>
      <c r="H216" s="72"/>
    </row>
    <row r="217" spans="3:8">
      <c r="C217" s="22"/>
      <c r="D217" s="42"/>
      <c r="E217" s="22"/>
      <c r="F217" s="32"/>
      <c r="G217" s="30"/>
      <c r="H217" s="72"/>
    </row>
    <row r="218" spans="3:8">
      <c r="C218" s="22"/>
      <c r="D218" s="58"/>
      <c r="E218" s="22"/>
      <c r="F218" s="32"/>
      <c r="G218" s="30"/>
      <c r="H218" s="72"/>
    </row>
    <row r="219" spans="3:8">
      <c r="C219" s="22"/>
      <c r="D219" s="58"/>
      <c r="E219" s="22"/>
      <c r="F219" s="32"/>
      <c r="G219" s="30"/>
      <c r="H219" s="44"/>
    </row>
    <row r="220" spans="3:8">
      <c r="C220" s="22"/>
      <c r="D220" s="58"/>
      <c r="E220" s="22"/>
      <c r="F220" s="32"/>
      <c r="G220" s="30">
        <v>0</v>
      </c>
      <c r="H220" s="44">
        <v>0</v>
      </c>
    </row>
    <row r="221" spans="3:8">
      <c r="C221" s="22"/>
      <c r="D221" s="58"/>
      <c r="E221" s="22"/>
      <c r="F221" s="32"/>
      <c r="G221" s="45">
        <v>0</v>
      </c>
      <c r="H221" s="44">
        <v>0</v>
      </c>
    </row>
    <row r="222" spans="3:8">
      <c r="C222" s="22"/>
      <c r="D222" s="27"/>
      <c r="E222" s="22"/>
      <c r="F222" s="32"/>
      <c r="G222" s="30">
        <v>0</v>
      </c>
      <c r="H222" s="44">
        <v>0</v>
      </c>
    </row>
    <row r="223" spans="3:8">
      <c r="C223" s="34" t="s">
        <v>18</v>
      </c>
      <c r="D223" s="34"/>
      <c r="E223" s="34"/>
      <c r="F223" s="35"/>
      <c r="G223" s="34"/>
      <c r="H223" s="36">
        <v>0</v>
      </c>
    </row>
    <row r="224" spans="3:8">
      <c r="C224" s="37" t="s">
        <v>19</v>
      </c>
      <c r="D224" s="38" t="s">
        <v>20</v>
      </c>
      <c r="E224" s="39"/>
      <c r="F224" s="46"/>
      <c r="G224" s="33">
        <v>0</v>
      </c>
      <c r="H224" s="47">
        <v>0</v>
      </c>
    </row>
    <row r="225" spans="3:8">
      <c r="C225" s="22"/>
      <c r="D225" s="58"/>
      <c r="E225" s="22"/>
      <c r="F225" s="32"/>
      <c r="G225" s="30"/>
      <c r="H225" s="72"/>
    </row>
    <row r="226" spans="3:8">
      <c r="C226" s="22"/>
      <c r="D226" s="58"/>
      <c r="E226" s="22"/>
      <c r="F226" s="32"/>
      <c r="G226" s="30"/>
      <c r="H226" s="72"/>
    </row>
    <row r="227" spans="3:8">
      <c r="C227" s="22"/>
      <c r="D227" s="27"/>
      <c r="E227" s="22"/>
      <c r="F227" s="64"/>
      <c r="G227" s="65">
        <v>0</v>
      </c>
      <c r="H227" s="44">
        <v>0</v>
      </c>
    </row>
    <row r="228" spans="3:8">
      <c r="C228" s="34" t="s">
        <v>21</v>
      </c>
      <c r="D228" s="34"/>
      <c r="E228" s="34"/>
      <c r="F228" s="35"/>
      <c r="G228" s="34"/>
      <c r="H228" s="36">
        <v>0</v>
      </c>
    </row>
    <row r="229" spans="3:8" ht="15.75">
      <c r="C229" s="49" t="s">
        <v>22</v>
      </c>
      <c r="D229" s="50"/>
      <c r="E229" s="50"/>
      <c r="F229" s="51"/>
      <c r="G229" s="52"/>
      <c r="H229" s="36">
        <v>0</v>
      </c>
    </row>
    <row r="230" spans="3:8" ht="15.75">
      <c r="C230" s="49" t="s">
        <v>23</v>
      </c>
      <c r="D230" s="50"/>
      <c r="E230" s="50"/>
      <c r="F230" s="51"/>
      <c r="G230" s="52"/>
      <c r="H230" s="53">
        <v>0</v>
      </c>
    </row>
    <row r="231" spans="3:8" ht="15.75">
      <c r="C231" s="49" t="s">
        <v>24</v>
      </c>
      <c r="D231" s="50"/>
      <c r="E231" s="50"/>
      <c r="F231" s="51"/>
      <c r="G231" s="52"/>
      <c r="H231" s="36">
        <v>0</v>
      </c>
    </row>
    <row r="232" spans="3:8">
      <c r="C232" s="4"/>
      <c r="D232" s="4"/>
      <c r="E232" s="4"/>
      <c r="F232" s="4"/>
      <c r="G232" s="4"/>
      <c r="H232" s="4"/>
    </row>
    <row r="233" spans="3:8" ht="24" customHeight="1">
      <c r="C233" s="5" t="s">
        <v>1</v>
      </c>
      <c r="D233" s="6" t="s">
        <v>95</v>
      </c>
      <c r="E233" s="6"/>
      <c r="F233" s="7"/>
      <c r="G233" s="8"/>
      <c r="H233" s="9"/>
    </row>
    <row r="234" spans="3:8">
      <c r="C234" s="10" t="s">
        <v>3</v>
      </c>
      <c r="D234" s="11" t="s">
        <v>96</v>
      </c>
      <c r="E234" s="12"/>
      <c r="F234" s="13" t="s">
        <v>5</v>
      </c>
      <c r="G234" s="14" t="s">
        <v>97</v>
      </c>
      <c r="H234" s="15">
        <v>44245.48</v>
      </c>
    </row>
    <row r="235" spans="3:8">
      <c r="C235" s="16" t="s">
        <v>7</v>
      </c>
      <c r="D235" s="16" t="s">
        <v>8</v>
      </c>
      <c r="E235" s="16" t="s">
        <v>9</v>
      </c>
      <c r="F235" s="17" t="s">
        <v>10</v>
      </c>
      <c r="G235" s="18" t="s">
        <v>11</v>
      </c>
      <c r="H235" s="18" t="s">
        <v>12</v>
      </c>
    </row>
    <row r="236" spans="3:8">
      <c r="C236" s="16"/>
      <c r="D236" s="16"/>
      <c r="E236" s="16"/>
      <c r="F236" s="17"/>
      <c r="G236" s="19"/>
      <c r="H236" s="19"/>
    </row>
    <row r="237" spans="3:8">
      <c r="C237" s="20" t="s">
        <v>13</v>
      </c>
      <c r="D237" s="21" t="s">
        <v>14</v>
      </c>
      <c r="E237" s="22"/>
      <c r="F237" s="23"/>
      <c r="G237" s="24"/>
      <c r="H237" s="25"/>
    </row>
    <row r="238" spans="3:8">
      <c r="C238" s="22" t="s">
        <v>98</v>
      </c>
      <c r="D238" s="54" t="s">
        <v>95</v>
      </c>
      <c r="E238" s="22" t="s">
        <v>97</v>
      </c>
      <c r="F238" s="43">
        <v>1</v>
      </c>
      <c r="G238" s="29">
        <v>10500</v>
      </c>
      <c r="H238" s="30">
        <v>10500</v>
      </c>
    </row>
    <row r="239" spans="3:8">
      <c r="C239" s="22"/>
      <c r="D239" s="48"/>
      <c r="E239" s="22"/>
      <c r="F239" s="43"/>
      <c r="G239" s="29"/>
      <c r="H239" s="30">
        <v>0</v>
      </c>
    </row>
    <row r="240" spans="3:8">
      <c r="C240" s="28"/>
      <c r="D240" s="48"/>
      <c r="E240" s="28"/>
      <c r="F240" s="73"/>
      <c r="G240" s="33"/>
      <c r="H240" s="72">
        <v>0</v>
      </c>
    </row>
    <row r="241" spans="3:8">
      <c r="C241" s="28"/>
      <c r="D241" s="48"/>
      <c r="E241" s="28"/>
      <c r="F241" s="73"/>
      <c r="G241" s="33"/>
      <c r="H241" s="72">
        <v>0</v>
      </c>
    </row>
    <row r="242" spans="3:8">
      <c r="C242" s="34" t="s">
        <v>15</v>
      </c>
      <c r="D242" s="34"/>
      <c r="E242" s="34"/>
      <c r="F242" s="35"/>
      <c r="G242" s="34"/>
      <c r="H242" s="36">
        <v>10500</v>
      </c>
    </row>
    <row r="243" spans="3:8">
      <c r="C243" s="37" t="s">
        <v>16</v>
      </c>
      <c r="D243" s="38" t="s">
        <v>17</v>
      </c>
      <c r="E243" s="39"/>
      <c r="F243" s="40"/>
      <c r="G243" s="41"/>
      <c r="H243" s="41"/>
    </row>
    <row r="244" spans="3:8">
      <c r="C244" s="22" t="s">
        <v>31</v>
      </c>
      <c r="D244" s="27" t="s">
        <v>99</v>
      </c>
      <c r="E244" s="22" t="s">
        <v>97</v>
      </c>
      <c r="F244" s="43">
        <v>1</v>
      </c>
      <c r="G244" s="29">
        <v>25000</v>
      </c>
      <c r="H244" s="44">
        <v>25000</v>
      </c>
    </row>
    <row r="245" spans="3:8">
      <c r="C245" s="22"/>
      <c r="D245" s="27"/>
      <c r="E245" s="22"/>
      <c r="F245" s="43"/>
      <c r="G245" s="29"/>
      <c r="H245" s="44">
        <v>0</v>
      </c>
    </row>
    <row r="246" spans="3:8">
      <c r="C246" s="22"/>
      <c r="D246" s="27"/>
      <c r="E246" s="22"/>
      <c r="F246" s="43"/>
      <c r="G246" s="29"/>
      <c r="H246" s="44">
        <v>0</v>
      </c>
    </row>
    <row r="247" spans="3:8">
      <c r="C247" s="22"/>
      <c r="D247" s="27"/>
      <c r="E247" s="22"/>
      <c r="F247" s="43"/>
      <c r="G247" s="29"/>
      <c r="H247" s="44">
        <v>0</v>
      </c>
    </row>
    <row r="248" spans="3:8">
      <c r="C248" s="22"/>
      <c r="D248" s="42"/>
      <c r="E248" s="22"/>
      <c r="F248" s="43"/>
      <c r="G248" s="29"/>
      <c r="H248" s="44">
        <v>0</v>
      </c>
    </row>
    <row r="249" spans="3:8">
      <c r="C249" s="22"/>
      <c r="D249" s="42"/>
      <c r="E249" s="22"/>
      <c r="F249" s="43"/>
      <c r="G249" s="29"/>
      <c r="H249" s="44">
        <v>0</v>
      </c>
    </row>
    <row r="250" spans="3:8">
      <c r="C250" s="22"/>
      <c r="D250" s="42"/>
      <c r="E250" s="22"/>
      <c r="F250" s="43"/>
      <c r="G250" s="29"/>
      <c r="H250" s="44">
        <v>0</v>
      </c>
    </row>
    <row r="251" spans="3:8">
      <c r="C251" s="22"/>
      <c r="D251" s="42"/>
      <c r="E251" s="22"/>
      <c r="F251" s="43"/>
      <c r="G251" s="29"/>
      <c r="H251" s="44">
        <v>0</v>
      </c>
    </row>
    <row r="252" spans="3:8">
      <c r="C252" s="22"/>
      <c r="D252" s="42"/>
      <c r="E252" s="22"/>
      <c r="F252" s="32"/>
      <c r="G252" s="30"/>
      <c r="H252" s="44">
        <v>0</v>
      </c>
    </row>
    <row r="253" spans="3:8">
      <c r="C253" s="34" t="s">
        <v>18</v>
      </c>
      <c r="D253" s="34"/>
      <c r="E253" s="34"/>
      <c r="F253" s="35"/>
      <c r="G253" s="34"/>
      <c r="H253" s="36">
        <v>25000</v>
      </c>
    </row>
    <row r="254" spans="3:8">
      <c r="C254" s="37" t="s">
        <v>19</v>
      </c>
      <c r="D254" s="38" t="s">
        <v>20</v>
      </c>
      <c r="E254" s="39"/>
      <c r="F254" s="46"/>
      <c r="G254" s="47"/>
      <c r="H254" s="47">
        <v>0</v>
      </c>
    </row>
    <row r="255" spans="3:8">
      <c r="C255" s="22"/>
      <c r="D255" s="27"/>
      <c r="E255" s="22"/>
      <c r="F255" s="43"/>
      <c r="G255" s="29"/>
      <c r="H255" s="33">
        <v>0</v>
      </c>
    </row>
    <row r="256" spans="3:8">
      <c r="C256" s="22"/>
      <c r="D256" s="27"/>
      <c r="E256" s="22"/>
      <c r="F256" s="43"/>
      <c r="G256" s="29"/>
      <c r="H256" s="33">
        <v>0</v>
      </c>
    </row>
    <row r="257" spans="3:8">
      <c r="C257" s="22"/>
      <c r="D257" s="27"/>
      <c r="E257" s="22"/>
      <c r="F257" s="43"/>
      <c r="G257" s="29"/>
      <c r="H257" s="44">
        <v>0</v>
      </c>
    </row>
    <row r="258" spans="3:8">
      <c r="C258" s="22"/>
      <c r="D258" s="27"/>
      <c r="E258" s="22"/>
      <c r="F258" s="43"/>
      <c r="G258" s="29"/>
      <c r="H258" s="44">
        <v>0</v>
      </c>
    </row>
    <row r="259" spans="3:8">
      <c r="C259" s="28"/>
      <c r="D259" s="48"/>
      <c r="E259" s="28"/>
      <c r="F259" s="23"/>
      <c r="G259" s="33"/>
      <c r="H259" s="44">
        <v>0</v>
      </c>
    </row>
    <row r="260" spans="3:8">
      <c r="C260" s="28"/>
      <c r="D260" s="48"/>
      <c r="E260" s="28"/>
      <c r="F260" s="23"/>
      <c r="G260" s="33">
        <v>0</v>
      </c>
      <c r="H260" s="44">
        <v>0</v>
      </c>
    </row>
    <row r="261" spans="3:8">
      <c r="C261" s="22"/>
      <c r="D261" s="27"/>
      <c r="E261" s="22"/>
      <c r="F261" s="64"/>
      <c r="G261" s="65">
        <v>0</v>
      </c>
      <c r="H261" s="44">
        <v>0</v>
      </c>
    </row>
    <row r="262" spans="3:8">
      <c r="C262" s="34" t="s">
        <v>21</v>
      </c>
      <c r="D262" s="34"/>
      <c r="E262" s="34"/>
      <c r="F262" s="35"/>
      <c r="G262" s="34"/>
      <c r="H262" s="36">
        <v>0</v>
      </c>
    </row>
    <row r="263" spans="3:8" ht="15.75">
      <c r="C263" s="49" t="s">
        <v>22</v>
      </c>
      <c r="D263" s="50"/>
      <c r="E263" s="50"/>
      <c r="F263" s="51"/>
      <c r="G263" s="52"/>
      <c r="H263" s="36">
        <v>35500</v>
      </c>
    </row>
    <row r="264" spans="3:8" ht="15.75">
      <c r="C264" s="49" t="s">
        <v>23</v>
      </c>
      <c r="D264" s="50"/>
      <c r="E264" s="50"/>
      <c r="F264" s="51"/>
      <c r="G264" s="52"/>
      <c r="H264" s="53">
        <v>8745.4757734967807</v>
      </c>
    </row>
    <row r="265" spans="3:8" ht="15.75">
      <c r="C265" s="49" t="s">
        <v>24</v>
      </c>
      <c r="D265" s="50"/>
      <c r="E265" s="50"/>
      <c r="F265" s="51"/>
      <c r="G265" s="52"/>
      <c r="H265" s="36">
        <v>44245.48</v>
      </c>
    </row>
    <row r="266" spans="3:8">
      <c r="C266" s="4"/>
      <c r="D266" s="4"/>
      <c r="E266" s="4"/>
      <c r="F266" s="4"/>
      <c r="G266" s="4"/>
      <c r="H266" s="4"/>
    </row>
    <row r="267" spans="3:8" ht="32.25" customHeight="1">
      <c r="C267" s="5" t="s">
        <v>1</v>
      </c>
      <c r="D267" s="6" t="s">
        <v>100</v>
      </c>
      <c r="E267" s="6"/>
      <c r="F267" s="7"/>
      <c r="G267" s="8"/>
      <c r="H267" s="9"/>
    </row>
    <row r="268" spans="3:8">
      <c r="C268" s="10" t="s">
        <v>3</v>
      </c>
      <c r="D268" s="11" t="s">
        <v>101</v>
      </c>
      <c r="E268" s="12"/>
      <c r="F268" s="13" t="s">
        <v>5</v>
      </c>
      <c r="G268" s="14" t="s">
        <v>102</v>
      </c>
      <c r="H268" s="15">
        <v>2449.86</v>
      </c>
    </row>
    <row r="269" spans="3:8">
      <c r="C269" s="16" t="s">
        <v>7</v>
      </c>
      <c r="D269" s="16" t="s">
        <v>8</v>
      </c>
      <c r="E269" s="16" t="s">
        <v>9</v>
      </c>
      <c r="F269" s="17" t="s">
        <v>10</v>
      </c>
      <c r="G269" s="18" t="s">
        <v>11</v>
      </c>
      <c r="H269" s="18" t="s">
        <v>12</v>
      </c>
    </row>
    <row r="270" spans="3:8">
      <c r="C270" s="16"/>
      <c r="D270" s="16"/>
      <c r="E270" s="16"/>
      <c r="F270" s="17"/>
      <c r="G270" s="19"/>
      <c r="H270" s="19"/>
    </row>
    <row r="271" spans="3:8">
      <c r="C271" s="20" t="s">
        <v>13</v>
      </c>
      <c r="D271" s="21" t="s">
        <v>14</v>
      </c>
      <c r="E271" s="22"/>
      <c r="F271" s="23"/>
      <c r="G271" s="24"/>
      <c r="H271" s="25"/>
    </row>
    <row r="272" spans="3:8">
      <c r="C272" s="22" t="s">
        <v>98</v>
      </c>
      <c r="D272" s="56" t="s">
        <v>100</v>
      </c>
      <c r="E272" s="22" t="s">
        <v>103</v>
      </c>
      <c r="F272" s="23">
        <v>1</v>
      </c>
      <c r="G272" s="30">
        <v>1965.625</v>
      </c>
      <c r="H272" s="30">
        <v>1965.625</v>
      </c>
    </row>
    <row r="273" spans="3:8">
      <c r="C273" s="22"/>
      <c r="D273" s="48"/>
      <c r="E273" s="22"/>
      <c r="F273" s="43"/>
      <c r="G273" s="29">
        <v>0</v>
      </c>
      <c r="H273" s="30">
        <v>0</v>
      </c>
    </row>
    <row r="274" spans="3:8">
      <c r="C274" s="22"/>
      <c r="D274" s="48"/>
      <c r="E274" s="22"/>
      <c r="F274" s="43"/>
      <c r="G274" s="29">
        <v>0</v>
      </c>
      <c r="H274" s="30">
        <v>0</v>
      </c>
    </row>
    <row r="275" spans="3:8">
      <c r="C275" s="22"/>
      <c r="D275" s="48"/>
      <c r="E275" s="22"/>
      <c r="F275" s="43"/>
      <c r="G275" s="29">
        <v>0</v>
      </c>
      <c r="H275" s="30">
        <v>0</v>
      </c>
    </row>
    <row r="276" spans="3:8">
      <c r="C276" s="22"/>
      <c r="D276" s="48"/>
      <c r="E276" s="22"/>
      <c r="F276" s="43"/>
      <c r="G276" s="29">
        <v>0</v>
      </c>
      <c r="H276" s="30">
        <v>0</v>
      </c>
    </row>
    <row r="277" spans="3:8">
      <c r="C277" s="22"/>
      <c r="D277" s="48"/>
      <c r="E277" s="22"/>
      <c r="F277" s="43"/>
      <c r="G277" s="29">
        <v>0</v>
      </c>
      <c r="H277" s="30">
        <v>0</v>
      </c>
    </row>
    <row r="278" spans="3:8">
      <c r="C278" s="22"/>
      <c r="D278" s="48"/>
      <c r="E278" s="22"/>
      <c r="F278" s="43"/>
      <c r="G278" s="29">
        <v>0</v>
      </c>
      <c r="H278" s="30">
        <v>0</v>
      </c>
    </row>
    <row r="279" spans="3:8">
      <c r="C279" s="22"/>
      <c r="D279" s="48"/>
      <c r="E279" s="22"/>
      <c r="F279" s="43"/>
      <c r="G279" s="29">
        <v>0</v>
      </c>
      <c r="H279" s="30">
        <v>0</v>
      </c>
    </row>
    <row r="280" spans="3:8">
      <c r="C280" s="22"/>
      <c r="D280" s="48"/>
      <c r="E280" s="22"/>
      <c r="F280" s="43"/>
      <c r="G280" s="29">
        <v>0</v>
      </c>
      <c r="H280" s="30">
        <v>0</v>
      </c>
    </row>
    <row r="281" spans="3:8">
      <c r="C281" s="22"/>
      <c r="D281" s="48"/>
      <c r="E281" s="22"/>
      <c r="F281" s="43"/>
      <c r="G281" s="29">
        <v>0</v>
      </c>
      <c r="H281" s="30">
        <v>0</v>
      </c>
    </row>
    <row r="282" spans="3:8">
      <c r="C282" s="22"/>
      <c r="D282" s="48"/>
      <c r="E282" s="22"/>
      <c r="F282" s="43"/>
      <c r="G282" s="29">
        <v>0</v>
      </c>
      <c r="H282" s="30">
        <v>0</v>
      </c>
    </row>
    <row r="283" spans="3:8">
      <c r="C283" s="22"/>
      <c r="D283" s="48"/>
      <c r="E283" s="22"/>
      <c r="F283" s="43"/>
      <c r="G283" s="29">
        <v>0</v>
      </c>
      <c r="H283" s="30">
        <v>0</v>
      </c>
    </row>
    <row r="284" spans="3:8">
      <c r="C284" s="26"/>
      <c r="D284" s="48"/>
      <c r="E284" s="22"/>
      <c r="F284" s="57"/>
      <c r="G284" s="29">
        <v>0</v>
      </c>
      <c r="H284" s="30">
        <v>0</v>
      </c>
    </row>
    <row r="285" spans="3:8">
      <c r="C285" s="26"/>
      <c r="D285" s="27"/>
      <c r="E285" s="22"/>
      <c r="F285" s="32"/>
      <c r="G285" s="29">
        <v>0</v>
      </c>
      <c r="H285" s="30">
        <v>0</v>
      </c>
    </row>
    <row r="286" spans="3:8">
      <c r="C286" s="22"/>
      <c r="D286" s="27"/>
      <c r="E286" s="22"/>
      <c r="F286" s="32"/>
      <c r="G286" s="30">
        <v>0</v>
      </c>
      <c r="H286" s="30">
        <v>0</v>
      </c>
    </row>
    <row r="287" spans="3:8">
      <c r="C287" s="26"/>
      <c r="D287" s="31"/>
      <c r="E287" s="22"/>
      <c r="F287" s="32"/>
      <c r="G287" s="33">
        <v>0</v>
      </c>
      <c r="H287" s="30">
        <v>0</v>
      </c>
    </row>
    <row r="288" spans="3:8">
      <c r="C288" s="34" t="s">
        <v>15</v>
      </c>
      <c r="D288" s="34"/>
      <c r="E288" s="34"/>
      <c r="F288" s="35"/>
      <c r="G288" s="34"/>
      <c r="H288" s="36">
        <v>1965.625</v>
      </c>
    </row>
    <row r="289" spans="3:8">
      <c r="C289" s="37" t="s">
        <v>16</v>
      </c>
      <c r="D289" s="38" t="s">
        <v>17</v>
      </c>
      <c r="E289" s="39"/>
      <c r="F289" s="40"/>
      <c r="G289" s="41"/>
      <c r="H289" s="41"/>
    </row>
    <row r="290" spans="3:8">
      <c r="C290" s="22"/>
      <c r="D290" s="58"/>
      <c r="E290" s="22"/>
      <c r="F290" s="23"/>
      <c r="G290" s="45">
        <v>0</v>
      </c>
      <c r="H290" s="44">
        <v>0</v>
      </c>
    </row>
    <row r="291" spans="3:8">
      <c r="C291" s="22"/>
      <c r="D291" s="58"/>
      <c r="E291" s="22"/>
      <c r="F291" s="23"/>
      <c r="G291" s="30">
        <v>0</v>
      </c>
      <c r="H291" s="44">
        <v>0</v>
      </c>
    </row>
    <row r="292" spans="3:8">
      <c r="C292" s="22"/>
      <c r="D292" s="58"/>
      <c r="E292" s="22"/>
      <c r="F292" s="23"/>
      <c r="G292" s="30">
        <v>0</v>
      </c>
      <c r="H292" s="44">
        <v>0</v>
      </c>
    </row>
    <row r="293" spans="3:8">
      <c r="C293" s="22"/>
      <c r="D293" s="58"/>
      <c r="E293" s="22"/>
      <c r="F293" s="23"/>
      <c r="G293" s="30">
        <v>0</v>
      </c>
      <c r="H293" s="44">
        <v>0</v>
      </c>
    </row>
    <row r="294" spans="3:8">
      <c r="C294" s="22"/>
      <c r="D294" s="58"/>
      <c r="E294" s="22"/>
      <c r="F294" s="23"/>
      <c r="G294" s="30">
        <v>0</v>
      </c>
      <c r="H294" s="44">
        <v>0</v>
      </c>
    </row>
    <row r="295" spans="3:8">
      <c r="C295" s="22"/>
      <c r="D295" s="58"/>
      <c r="E295" s="22"/>
      <c r="F295" s="23"/>
      <c r="G295" s="30">
        <v>0</v>
      </c>
      <c r="H295" s="44">
        <v>0</v>
      </c>
    </row>
    <row r="296" spans="3:8">
      <c r="C296" s="22"/>
      <c r="D296" s="58"/>
      <c r="E296" s="22"/>
      <c r="F296" s="32"/>
      <c r="G296" s="45">
        <v>0</v>
      </c>
      <c r="H296" s="44">
        <v>0</v>
      </c>
    </row>
    <row r="297" spans="3:8">
      <c r="C297" s="22"/>
      <c r="D297" s="27"/>
      <c r="E297" s="22"/>
      <c r="F297" s="32"/>
      <c r="G297" s="30">
        <v>0</v>
      </c>
      <c r="H297" s="44">
        <v>0</v>
      </c>
    </row>
    <row r="298" spans="3:8">
      <c r="C298" s="34" t="s">
        <v>18</v>
      </c>
      <c r="D298" s="34"/>
      <c r="E298" s="34"/>
      <c r="F298" s="35"/>
      <c r="G298" s="34"/>
      <c r="H298" s="36">
        <v>0</v>
      </c>
    </row>
    <row r="299" spans="3:8">
      <c r="C299" s="37" t="s">
        <v>19</v>
      </c>
      <c r="D299" s="38" t="s">
        <v>20</v>
      </c>
      <c r="E299" s="39"/>
      <c r="F299" s="46"/>
      <c r="G299" s="47"/>
      <c r="H299" s="47">
        <v>0</v>
      </c>
    </row>
    <row r="300" spans="3:8">
      <c r="C300" s="28"/>
      <c r="D300" s="48"/>
      <c r="E300" s="28"/>
      <c r="F300" s="23"/>
      <c r="G300" s="33">
        <v>0</v>
      </c>
      <c r="H300" s="33">
        <v>0</v>
      </c>
    </row>
    <row r="301" spans="3:8">
      <c r="C301" s="28"/>
      <c r="D301" s="48"/>
      <c r="E301" s="28"/>
      <c r="F301" s="23"/>
      <c r="G301" s="33">
        <v>0</v>
      </c>
      <c r="H301" s="33">
        <v>0</v>
      </c>
    </row>
    <row r="302" spans="3:8">
      <c r="C302" s="28"/>
      <c r="D302" s="48"/>
      <c r="E302" s="28"/>
      <c r="F302" s="23"/>
      <c r="G302" s="33">
        <v>0</v>
      </c>
      <c r="H302" s="44">
        <v>0</v>
      </c>
    </row>
    <row r="303" spans="3:8">
      <c r="C303" s="28"/>
      <c r="D303" s="48"/>
      <c r="E303" s="28"/>
      <c r="F303" s="23"/>
      <c r="G303" s="33">
        <v>0</v>
      </c>
      <c r="H303" s="44">
        <v>0</v>
      </c>
    </row>
    <row r="304" spans="3:8">
      <c r="C304" s="28"/>
      <c r="D304" s="48"/>
      <c r="E304" s="28"/>
      <c r="F304" s="23"/>
      <c r="G304" s="33">
        <v>0</v>
      </c>
      <c r="H304" s="44">
        <v>0</v>
      </c>
    </row>
    <row r="305" spans="3:8">
      <c r="C305" s="28"/>
      <c r="D305" s="48"/>
      <c r="E305" s="28"/>
      <c r="F305" s="23"/>
      <c r="G305" s="33">
        <v>0</v>
      </c>
      <c r="H305" s="44">
        <v>0</v>
      </c>
    </row>
    <row r="306" spans="3:8">
      <c r="C306" s="22"/>
      <c r="D306" s="27"/>
      <c r="E306" s="22"/>
      <c r="F306" s="64"/>
      <c r="G306" s="65">
        <v>0</v>
      </c>
      <c r="H306" s="44">
        <v>0</v>
      </c>
    </row>
    <row r="307" spans="3:8">
      <c r="C307" s="34" t="s">
        <v>21</v>
      </c>
      <c r="D307" s="34"/>
      <c r="E307" s="34"/>
      <c r="F307" s="35"/>
      <c r="G307" s="34"/>
      <c r="H307" s="36">
        <v>0</v>
      </c>
    </row>
    <row r="308" spans="3:8" ht="15.75">
      <c r="C308" s="49" t="s">
        <v>22</v>
      </c>
      <c r="D308" s="50"/>
      <c r="E308" s="50"/>
      <c r="F308" s="51"/>
      <c r="G308" s="52"/>
      <c r="H308" s="36">
        <v>1965.625</v>
      </c>
    </row>
    <row r="309" spans="3:8" ht="15.75">
      <c r="C309" s="49" t="s">
        <v>23</v>
      </c>
      <c r="D309" s="50"/>
      <c r="E309" s="50"/>
      <c r="F309" s="51"/>
      <c r="G309" s="52"/>
      <c r="H309" s="53">
        <v>484.23453006421431</v>
      </c>
    </row>
    <row r="310" spans="3:8" ht="15.75">
      <c r="C310" s="49" t="s">
        <v>24</v>
      </c>
      <c r="D310" s="50"/>
      <c r="E310" s="50"/>
      <c r="F310" s="51"/>
      <c r="G310" s="52"/>
      <c r="H310" s="36">
        <v>2449.86</v>
      </c>
    </row>
    <row r="311" spans="3:8">
      <c r="C311" s="4"/>
      <c r="D311" s="4"/>
      <c r="E311" s="4"/>
      <c r="F311" s="4"/>
      <c r="G311" s="4"/>
      <c r="H311" s="4"/>
    </row>
    <row r="312" spans="3:8" ht="28.5" customHeight="1">
      <c r="C312" s="5" t="s">
        <v>1</v>
      </c>
      <c r="D312" s="6" t="s">
        <v>104</v>
      </c>
      <c r="E312" s="6"/>
      <c r="F312" s="7"/>
      <c r="G312" s="8"/>
      <c r="H312" s="9"/>
    </row>
    <row r="313" spans="3:8">
      <c r="C313" s="10" t="s">
        <v>3</v>
      </c>
      <c r="D313" s="11" t="s">
        <v>105</v>
      </c>
      <c r="E313" s="12"/>
      <c r="F313" s="13" t="s">
        <v>5</v>
      </c>
      <c r="G313" s="14" t="s">
        <v>106</v>
      </c>
      <c r="H313" s="15">
        <v>375.32</v>
      </c>
    </row>
    <row r="314" spans="3:8">
      <c r="C314" s="16" t="s">
        <v>7</v>
      </c>
      <c r="D314" s="16" t="s">
        <v>8</v>
      </c>
      <c r="E314" s="16" t="s">
        <v>9</v>
      </c>
      <c r="F314" s="17" t="s">
        <v>10</v>
      </c>
      <c r="G314" s="18" t="s">
        <v>11</v>
      </c>
      <c r="H314" s="18" t="s">
        <v>12</v>
      </c>
    </row>
    <row r="315" spans="3:8">
      <c r="C315" s="16"/>
      <c r="D315" s="16"/>
      <c r="E315" s="16"/>
      <c r="F315" s="17"/>
      <c r="G315" s="19"/>
      <c r="H315" s="19"/>
    </row>
    <row r="316" spans="3:8">
      <c r="C316" s="20" t="s">
        <v>13</v>
      </c>
      <c r="D316" s="21" t="s">
        <v>14</v>
      </c>
      <c r="E316" s="22"/>
      <c r="F316" s="23"/>
      <c r="G316" s="24"/>
      <c r="H316" s="25"/>
    </row>
    <row r="317" spans="3:8">
      <c r="C317" s="22" t="s">
        <v>107</v>
      </c>
      <c r="D317" s="54" t="s">
        <v>108</v>
      </c>
      <c r="E317" s="22" t="s">
        <v>109</v>
      </c>
      <c r="F317" s="43">
        <v>1.2733007207311648</v>
      </c>
      <c r="G317" s="29">
        <v>65.776570193015658</v>
      </c>
      <c r="H317" s="30">
        <v>83.753354233990891</v>
      </c>
    </row>
    <row r="318" spans="3:8">
      <c r="C318" s="22" t="s">
        <v>107</v>
      </c>
      <c r="D318" s="48" t="s">
        <v>110</v>
      </c>
      <c r="E318" s="22" t="s">
        <v>109</v>
      </c>
      <c r="F318" s="43">
        <v>0.52634867525871198</v>
      </c>
      <c r="G318" s="29">
        <v>44.933633313323234</v>
      </c>
      <c r="H318" s="30">
        <v>23.650758369028413</v>
      </c>
    </row>
    <row r="319" spans="3:8">
      <c r="C319" s="26" t="s">
        <v>107</v>
      </c>
      <c r="D319" s="48" t="s">
        <v>111</v>
      </c>
      <c r="E319" s="22" t="s">
        <v>109</v>
      </c>
      <c r="F319" s="43">
        <v>0.165959859523406</v>
      </c>
      <c r="G319" s="29">
        <v>52.035429693461786</v>
      </c>
      <c r="H319" s="30">
        <v>8.6357926021669869</v>
      </c>
    </row>
    <row r="320" spans="3:8">
      <c r="C320" s="26" t="s">
        <v>112</v>
      </c>
      <c r="D320" s="48" t="s">
        <v>113</v>
      </c>
      <c r="E320" s="22" t="s">
        <v>109</v>
      </c>
      <c r="F320" s="43">
        <v>1</v>
      </c>
      <c r="G320" s="29">
        <v>57</v>
      </c>
      <c r="H320" s="30">
        <v>57</v>
      </c>
    </row>
    <row r="321" spans="3:8">
      <c r="C321" s="26"/>
      <c r="D321" s="31"/>
      <c r="E321" s="22"/>
      <c r="F321" s="74"/>
      <c r="G321" s="33">
        <v>0</v>
      </c>
      <c r="H321" s="30">
        <v>0</v>
      </c>
    </row>
    <row r="322" spans="3:8">
      <c r="C322" s="34" t="s">
        <v>15</v>
      </c>
      <c r="D322" s="34"/>
      <c r="E322" s="34"/>
      <c r="F322" s="75"/>
      <c r="G322" s="34"/>
      <c r="H322" s="36">
        <v>173.0399052051863</v>
      </c>
    </row>
    <row r="323" spans="3:8">
      <c r="C323" s="37" t="s">
        <v>16</v>
      </c>
      <c r="D323" s="38" t="s">
        <v>17</v>
      </c>
      <c r="E323" s="39"/>
      <c r="F323" s="76"/>
      <c r="G323" s="41"/>
      <c r="H323" s="41"/>
    </row>
    <row r="324" spans="3:8">
      <c r="C324" s="22" t="s">
        <v>31</v>
      </c>
      <c r="D324" s="77" t="s">
        <v>114</v>
      </c>
      <c r="E324" s="22" t="s">
        <v>6</v>
      </c>
      <c r="F324" s="78">
        <v>0.48750000000000004</v>
      </c>
      <c r="G324" s="30">
        <v>17.303990520518632</v>
      </c>
      <c r="H324" s="44">
        <v>8.4356953787528344</v>
      </c>
    </row>
    <row r="325" spans="3:8">
      <c r="C325" s="22" t="s">
        <v>31</v>
      </c>
      <c r="D325" s="77" t="s">
        <v>115</v>
      </c>
      <c r="E325" s="22" t="s">
        <v>29</v>
      </c>
      <c r="F325" s="43">
        <v>0.17599999999999999</v>
      </c>
      <c r="G325" s="30">
        <v>320.00142699402744</v>
      </c>
      <c r="H325" s="44">
        <v>56.320251150948828</v>
      </c>
    </row>
    <row r="326" spans="3:8">
      <c r="C326" s="22" t="s">
        <v>31</v>
      </c>
      <c r="D326" s="77" t="s">
        <v>114</v>
      </c>
      <c r="E326" s="22" t="s">
        <v>6</v>
      </c>
      <c r="F326" s="78">
        <v>0.48750000000000004</v>
      </c>
      <c r="G326" s="30">
        <v>8.6519952602593158</v>
      </c>
      <c r="H326" s="44">
        <v>4.2178476893764172</v>
      </c>
    </row>
    <row r="327" spans="3:8">
      <c r="C327" s="22" t="s">
        <v>31</v>
      </c>
      <c r="D327" s="77" t="s">
        <v>116</v>
      </c>
      <c r="E327" s="22" t="s">
        <v>29</v>
      </c>
      <c r="F327" s="79">
        <v>8.7999999999999995E-2</v>
      </c>
      <c r="G327" s="30">
        <v>429.21354820614863</v>
      </c>
      <c r="H327" s="44">
        <v>37.770792242141077</v>
      </c>
    </row>
    <row r="328" spans="3:8">
      <c r="C328" s="22"/>
      <c r="D328" s="58"/>
      <c r="E328" s="22"/>
      <c r="F328" s="79"/>
      <c r="G328" s="30">
        <v>0</v>
      </c>
      <c r="H328" s="44">
        <v>0</v>
      </c>
    </row>
    <row r="329" spans="3:8">
      <c r="C329" s="22"/>
      <c r="D329" s="58"/>
      <c r="E329" s="22"/>
      <c r="F329" s="79"/>
      <c r="G329" s="30">
        <v>0</v>
      </c>
      <c r="H329" s="44">
        <v>0</v>
      </c>
    </row>
    <row r="330" spans="3:8">
      <c r="C330" s="22"/>
      <c r="D330" s="58"/>
      <c r="E330" s="22"/>
      <c r="F330" s="74"/>
      <c r="G330" s="45">
        <v>0</v>
      </c>
      <c r="H330" s="44">
        <v>0</v>
      </c>
    </row>
    <row r="331" spans="3:8">
      <c r="C331" s="22"/>
      <c r="D331" s="27"/>
      <c r="E331" s="22"/>
      <c r="F331" s="74"/>
      <c r="G331" s="30">
        <v>0</v>
      </c>
      <c r="H331" s="44">
        <v>0</v>
      </c>
    </row>
    <row r="332" spans="3:8">
      <c r="C332" s="34" t="s">
        <v>18</v>
      </c>
      <c r="D332" s="34"/>
      <c r="E332" s="34"/>
      <c r="F332" s="75"/>
      <c r="G332" s="34"/>
      <c r="H332" s="36">
        <v>106.74458646121914</v>
      </c>
    </row>
    <row r="333" spans="3:8">
      <c r="C333" s="37" t="s">
        <v>19</v>
      </c>
      <c r="D333" s="38" t="s">
        <v>20</v>
      </c>
      <c r="E333" s="39"/>
      <c r="F333" s="80"/>
      <c r="G333" s="47"/>
      <c r="H333" s="47">
        <v>0</v>
      </c>
    </row>
    <row r="334" spans="3:8">
      <c r="C334" s="28" t="s">
        <v>55</v>
      </c>
      <c r="D334" s="48" t="s">
        <v>117</v>
      </c>
      <c r="E334" s="28" t="s">
        <v>6</v>
      </c>
      <c r="F334" s="79">
        <v>1</v>
      </c>
      <c r="G334" s="30">
        <v>21.348917292243829</v>
      </c>
      <c r="H334" s="33">
        <v>21.348917292243829</v>
      </c>
    </row>
    <row r="335" spans="3:8">
      <c r="C335" s="28"/>
      <c r="D335" s="48"/>
      <c r="E335" s="28"/>
      <c r="F335" s="23"/>
      <c r="G335" s="33">
        <v>0</v>
      </c>
      <c r="H335" s="33">
        <v>0</v>
      </c>
    </row>
    <row r="336" spans="3:8">
      <c r="C336" s="28"/>
      <c r="D336" s="48"/>
      <c r="E336" s="28"/>
      <c r="F336" s="23"/>
      <c r="G336" s="33">
        <v>0</v>
      </c>
      <c r="H336" s="44">
        <v>0</v>
      </c>
    </row>
    <row r="337" spans="3:8">
      <c r="C337" s="28"/>
      <c r="D337" s="48"/>
      <c r="E337" s="28"/>
      <c r="F337" s="23"/>
      <c r="G337" s="33">
        <v>0</v>
      </c>
      <c r="H337" s="44">
        <v>0</v>
      </c>
    </row>
    <row r="338" spans="3:8">
      <c r="C338" s="28"/>
      <c r="D338" s="48"/>
      <c r="E338" s="28"/>
      <c r="F338" s="23"/>
      <c r="G338" s="33">
        <v>0</v>
      </c>
      <c r="H338" s="44">
        <v>0</v>
      </c>
    </row>
    <row r="339" spans="3:8">
      <c r="C339" s="28"/>
      <c r="D339" s="48"/>
      <c r="E339" s="28"/>
      <c r="F339" s="23"/>
      <c r="G339" s="33">
        <v>0</v>
      </c>
      <c r="H339" s="44">
        <v>0</v>
      </c>
    </row>
    <row r="340" spans="3:8">
      <c r="C340" s="22"/>
      <c r="D340" s="27"/>
      <c r="E340" s="22"/>
      <c r="F340" s="64"/>
      <c r="G340" s="65">
        <v>0</v>
      </c>
      <c r="H340" s="44">
        <v>0</v>
      </c>
    </row>
    <row r="341" spans="3:8">
      <c r="C341" s="34" t="s">
        <v>21</v>
      </c>
      <c r="D341" s="34"/>
      <c r="E341" s="34"/>
      <c r="F341" s="35"/>
      <c r="G341" s="34"/>
      <c r="H341" s="36">
        <v>21.348917292243829</v>
      </c>
    </row>
    <row r="342" spans="3:8" ht="15.75">
      <c r="C342" s="49" t="s">
        <v>22</v>
      </c>
      <c r="D342" s="50"/>
      <c r="E342" s="50"/>
      <c r="F342" s="51"/>
      <c r="G342" s="52"/>
      <c r="H342" s="36">
        <v>301.13340895864928</v>
      </c>
    </row>
    <row r="343" spans="3:8" ht="15.75">
      <c r="C343" s="49" t="s">
        <v>23</v>
      </c>
      <c r="D343" s="50"/>
      <c r="E343" s="50"/>
      <c r="F343" s="51"/>
      <c r="G343" s="52"/>
      <c r="H343" s="53">
        <v>74.18464598981312</v>
      </c>
    </row>
    <row r="344" spans="3:8" ht="15.75">
      <c r="C344" s="49" t="s">
        <v>24</v>
      </c>
      <c r="D344" s="50"/>
      <c r="E344" s="50"/>
      <c r="F344" s="51"/>
      <c r="G344" s="52"/>
      <c r="H344" s="36">
        <v>375.32</v>
      </c>
    </row>
    <row r="345" spans="3:8">
      <c r="C345" s="4"/>
      <c r="D345" s="4"/>
      <c r="E345" s="4"/>
      <c r="F345" s="4"/>
      <c r="G345" s="4"/>
      <c r="H345" s="4"/>
    </row>
    <row r="346" spans="3:8" ht="39" customHeight="1">
      <c r="C346" s="5" t="s">
        <v>1</v>
      </c>
      <c r="D346" s="6" t="s">
        <v>118</v>
      </c>
      <c r="E346" s="6"/>
      <c r="F346" s="7"/>
      <c r="G346" s="8"/>
      <c r="H346" s="9"/>
    </row>
    <row r="347" spans="3:8">
      <c r="C347" s="10" t="s">
        <v>3</v>
      </c>
      <c r="D347" s="11" t="s">
        <v>119</v>
      </c>
      <c r="E347" s="12"/>
      <c r="F347" s="13" t="s">
        <v>5</v>
      </c>
      <c r="G347" s="14" t="s">
        <v>106</v>
      </c>
      <c r="H347" s="15">
        <v>119.24</v>
      </c>
    </row>
    <row r="348" spans="3:8">
      <c r="C348" s="16" t="s">
        <v>7</v>
      </c>
      <c r="D348" s="16" t="s">
        <v>8</v>
      </c>
      <c r="E348" s="16" t="s">
        <v>9</v>
      </c>
      <c r="F348" s="17" t="s">
        <v>10</v>
      </c>
      <c r="G348" s="18" t="s">
        <v>11</v>
      </c>
      <c r="H348" s="18" t="s">
        <v>12</v>
      </c>
    </row>
    <row r="349" spans="3:8">
      <c r="C349" s="16"/>
      <c r="D349" s="16"/>
      <c r="E349" s="16"/>
      <c r="F349" s="17"/>
      <c r="G349" s="19"/>
      <c r="H349" s="19"/>
    </row>
    <row r="350" spans="3:8">
      <c r="C350" s="20" t="s">
        <v>13</v>
      </c>
      <c r="D350" s="21" t="s">
        <v>14</v>
      </c>
      <c r="E350" s="22"/>
      <c r="F350" s="23"/>
      <c r="G350" s="24"/>
      <c r="H350" s="25"/>
    </row>
    <row r="351" spans="3:8">
      <c r="C351" s="22" t="s">
        <v>107</v>
      </c>
      <c r="D351" s="77" t="s">
        <v>111</v>
      </c>
      <c r="E351" s="22" t="s">
        <v>29</v>
      </c>
      <c r="F351" s="23">
        <v>1.0372491220212801</v>
      </c>
      <c r="G351" s="29">
        <v>52.035429693461786</v>
      </c>
      <c r="H351" s="30">
        <v>53.973703763543284</v>
      </c>
    </row>
    <row r="352" spans="3:8">
      <c r="C352" s="22"/>
      <c r="D352" s="77"/>
      <c r="E352" s="22"/>
      <c r="F352" s="23"/>
      <c r="G352" s="29"/>
      <c r="H352" s="30"/>
    </row>
    <row r="353" spans="3:8">
      <c r="C353" s="22"/>
      <c r="D353" s="48"/>
      <c r="E353" s="22"/>
      <c r="F353" s="43"/>
      <c r="G353" s="29">
        <v>0</v>
      </c>
      <c r="H353" s="30">
        <v>0</v>
      </c>
    </row>
    <row r="354" spans="3:8">
      <c r="C354" s="22"/>
      <c r="D354" s="48"/>
      <c r="E354" s="22"/>
      <c r="F354" s="43"/>
      <c r="G354" s="29">
        <v>0</v>
      </c>
      <c r="H354" s="30">
        <v>0</v>
      </c>
    </row>
    <row r="355" spans="3:8">
      <c r="C355" s="22"/>
      <c r="D355" s="48"/>
      <c r="E355" s="22"/>
      <c r="F355" s="43"/>
      <c r="G355" s="29">
        <v>0</v>
      </c>
      <c r="H355" s="30">
        <v>0</v>
      </c>
    </row>
    <row r="356" spans="3:8">
      <c r="C356" s="22"/>
      <c r="D356" s="48"/>
      <c r="E356" s="22"/>
      <c r="F356" s="43"/>
      <c r="G356" s="29">
        <v>0</v>
      </c>
      <c r="H356" s="30">
        <v>0</v>
      </c>
    </row>
    <row r="357" spans="3:8">
      <c r="C357" s="22"/>
      <c r="D357" s="48"/>
      <c r="E357" s="22"/>
      <c r="F357" s="43"/>
      <c r="G357" s="29">
        <v>0</v>
      </c>
      <c r="H357" s="30">
        <v>0</v>
      </c>
    </row>
    <row r="358" spans="3:8">
      <c r="C358" s="22"/>
      <c r="D358" s="48"/>
      <c r="E358" s="22"/>
      <c r="F358" s="43"/>
      <c r="G358" s="29">
        <v>0</v>
      </c>
      <c r="H358" s="30">
        <v>0</v>
      </c>
    </row>
    <row r="359" spans="3:8">
      <c r="C359" s="22"/>
      <c r="D359" s="48"/>
      <c r="E359" s="22"/>
      <c r="F359" s="43"/>
      <c r="G359" s="29">
        <v>0</v>
      </c>
      <c r="H359" s="30">
        <v>0</v>
      </c>
    </row>
    <row r="360" spans="3:8">
      <c r="C360" s="22"/>
      <c r="D360" s="48"/>
      <c r="E360" s="22"/>
      <c r="F360" s="43"/>
      <c r="G360" s="29">
        <v>0</v>
      </c>
      <c r="H360" s="30">
        <v>0</v>
      </c>
    </row>
    <row r="361" spans="3:8">
      <c r="C361" s="22"/>
      <c r="D361" s="48"/>
      <c r="E361" s="22"/>
      <c r="F361" s="43"/>
      <c r="G361" s="29">
        <v>0</v>
      </c>
      <c r="H361" s="30">
        <v>0</v>
      </c>
    </row>
    <row r="362" spans="3:8">
      <c r="C362" s="26"/>
      <c r="D362" s="48"/>
      <c r="E362" s="22"/>
      <c r="F362" s="57"/>
      <c r="G362" s="29">
        <v>0</v>
      </c>
      <c r="H362" s="30">
        <v>0</v>
      </c>
    </row>
    <row r="363" spans="3:8">
      <c r="C363" s="26"/>
      <c r="D363" s="27"/>
      <c r="E363" s="22"/>
      <c r="F363" s="32"/>
      <c r="G363" s="29">
        <v>0</v>
      </c>
      <c r="H363" s="30">
        <v>0</v>
      </c>
    </row>
    <row r="364" spans="3:8">
      <c r="C364" s="22"/>
      <c r="D364" s="27"/>
      <c r="E364" s="22"/>
      <c r="F364" s="32"/>
      <c r="G364" s="30">
        <v>0</v>
      </c>
      <c r="H364" s="30">
        <v>0</v>
      </c>
    </row>
    <row r="365" spans="3:8">
      <c r="C365" s="26"/>
      <c r="D365" s="31"/>
      <c r="E365" s="22"/>
      <c r="F365" s="32"/>
      <c r="G365" s="33">
        <v>0</v>
      </c>
      <c r="H365" s="30">
        <v>0</v>
      </c>
    </row>
    <row r="366" spans="3:8">
      <c r="C366" s="34" t="s">
        <v>15</v>
      </c>
      <c r="D366" s="34"/>
      <c r="E366" s="34"/>
      <c r="F366" s="35"/>
      <c r="G366" s="34"/>
      <c r="H366" s="36">
        <v>53.973703763543284</v>
      </c>
    </row>
    <row r="367" spans="3:8">
      <c r="C367" s="37" t="s">
        <v>16</v>
      </c>
      <c r="D367" s="38" t="s">
        <v>17</v>
      </c>
      <c r="E367" s="39"/>
      <c r="F367" s="40"/>
      <c r="G367" s="41"/>
      <c r="H367" s="41"/>
    </row>
    <row r="368" spans="3:8">
      <c r="C368" s="22" t="s">
        <v>31</v>
      </c>
      <c r="D368" s="77" t="s">
        <v>120</v>
      </c>
      <c r="E368" s="22" t="s">
        <v>29</v>
      </c>
      <c r="F368" s="23">
        <v>0.17823070495465579</v>
      </c>
      <c r="G368" s="30">
        <v>133.24472168674373</v>
      </c>
      <c r="H368" s="44">
        <v>23.748300677715246</v>
      </c>
    </row>
    <row r="369" spans="3:8">
      <c r="C369" s="22" t="s">
        <v>31</v>
      </c>
      <c r="D369" s="77" t="s">
        <v>121</v>
      </c>
      <c r="E369" s="22" t="s">
        <v>29</v>
      </c>
      <c r="F369" s="23">
        <v>6.7224063788793476E-2</v>
      </c>
      <c r="G369" s="30">
        <v>266.97112396372444</v>
      </c>
      <c r="H369" s="44">
        <v>17.946883867103303</v>
      </c>
    </row>
    <row r="370" spans="3:8">
      <c r="C370" s="22"/>
      <c r="D370" s="58"/>
      <c r="E370" s="22"/>
      <c r="F370" s="23"/>
      <c r="G370" s="30">
        <v>0</v>
      </c>
      <c r="H370" s="44">
        <v>0</v>
      </c>
    </row>
    <row r="371" spans="3:8">
      <c r="C371" s="22"/>
      <c r="D371" s="58"/>
      <c r="E371" s="22"/>
      <c r="F371" s="23"/>
      <c r="G371" s="30">
        <v>0</v>
      </c>
      <c r="H371" s="44">
        <v>0</v>
      </c>
    </row>
    <row r="372" spans="3:8">
      <c r="C372" s="22"/>
      <c r="D372" s="58"/>
      <c r="E372" s="22"/>
      <c r="F372" s="23"/>
      <c r="G372" s="30">
        <v>0</v>
      </c>
      <c r="H372" s="44">
        <v>0</v>
      </c>
    </row>
    <row r="373" spans="3:8">
      <c r="C373" s="22"/>
      <c r="D373" s="58"/>
      <c r="E373" s="22"/>
      <c r="F373" s="23"/>
      <c r="G373" s="30">
        <v>0</v>
      </c>
      <c r="H373" s="44">
        <v>0</v>
      </c>
    </row>
    <row r="374" spans="3:8">
      <c r="C374" s="22"/>
      <c r="D374" s="58"/>
      <c r="E374" s="22"/>
      <c r="F374" s="32"/>
      <c r="G374" s="45">
        <v>0</v>
      </c>
      <c r="H374" s="44">
        <v>0</v>
      </c>
    </row>
    <row r="375" spans="3:8">
      <c r="C375" s="22"/>
      <c r="D375" s="27"/>
      <c r="E375" s="22"/>
      <c r="F375" s="32"/>
      <c r="G375" s="30">
        <v>0</v>
      </c>
      <c r="H375" s="44">
        <v>0</v>
      </c>
    </row>
    <row r="376" spans="3:8">
      <c r="C376" s="34" t="s">
        <v>18</v>
      </c>
      <c r="D376" s="34"/>
      <c r="E376" s="34"/>
      <c r="F376" s="35"/>
      <c r="G376" s="34"/>
      <c r="H376" s="36">
        <v>41.695184544818545</v>
      </c>
    </row>
    <row r="377" spans="3:8">
      <c r="C377" s="37" t="s">
        <v>19</v>
      </c>
      <c r="D377" s="38" t="s">
        <v>20</v>
      </c>
      <c r="E377" s="39"/>
      <c r="F377" s="46"/>
      <c r="G377" s="47"/>
      <c r="H377" s="47">
        <v>0</v>
      </c>
    </row>
    <row r="378" spans="3:8">
      <c r="C378" s="22"/>
      <c r="D378" s="42"/>
      <c r="E378" s="22"/>
      <c r="F378" s="43"/>
      <c r="G378" s="29">
        <v>0</v>
      </c>
      <c r="H378" s="30">
        <v>0</v>
      </c>
    </row>
    <row r="379" spans="3:8">
      <c r="C379" s="28"/>
      <c r="D379" s="48"/>
      <c r="E379" s="28"/>
      <c r="F379" s="23"/>
      <c r="G379" s="33">
        <v>0</v>
      </c>
      <c r="H379" s="33">
        <v>0</v>
      </c>
    </row>
    <row r="380" spans="3:8">
      <c r="C380" s="28"/>
      <c r="D380" s="48"/>
      <c r="E380" s="28"/>
      <c r="F380" s="23"/>
      <c r="G380" s="33">
        <v>0</v>
      </c>
      <c r="H380" s="44">
        <v>0</v>
      </c>
    </row>
    <row r="381" spans="3:8">
      <c r="C381" s="28"/>
      <c r="D381" s="48"/>
      <c r="E381" s="28"/>
      <c r="F381" s="23"/>
      <c r="G381" s="33">
        <v>0</v>
      </c>
      <c r="H381" s="44">
        <v>0</v>
      </c>
    </row>
    <row r="382" spans="3:8">
      <c r="C382" s="28"/>
      <c r="D382" s="48"/>
      <c r="E382" s="28"/>
      <c r="F382" s="23"/>
      <c r="G382" s="33">
        <v>0</v>
      </c>
      <c r="H382" s="44">
        <v>0</v>
      </c>
    </row>
    <row r="383" spans="3:8">
      <c r="C383" s="28"/>
      <c r="D383" s="48"/>
      <c r="E383" s="28"/>
      <c r="F383" s="23"/>
      <c r="G383" s="33">
        <v>0</v>
      </c>
      <c r="H383" s="44">
        <v>0</v>
      </c>
    </row>
    <row r="384" spans="3:8">
      <c r="C384" s="22"/>
      <c r="D384" s="27"/>
      <c r="E384" s="22"/>
      <c r="F384" s="64"/>
      <c r="G384" s="65">
        <v>0</v>
      </c>
      <c r="H384" s="44">
        <v>0</v>
      </c>
    </row>
    <row r="385" spans="3:8">
      <c r="C385" s="34" t="s">
        <v>21</v>
      </c>
      <c r="D385" s="34"/>
      <c r="E385" s="34"/>
      <c r="F385" s="35"/>
      <c r="G385" s="34"/>
      <c r="H385" s="36">
        <v>0</v>
      </c>
    </row>
    <row r="386" spans="3:8" ht="15.75">
      <c r="C386" s="49" t="s">
        <v>22</v>
      </c>
      <c r="D386" s="50"/>
      <c r="E386" s="50"/>
      <c r="F386" s="51"/>
      <c r="G386" s="52"/>
      <c r="H386" s="36">
        <v>95.668888308361829</v>
      </c>
    </row>
    <row r="387" spans="3:8" ht="15.75">
      <c r="C387" s="49" t="s">
        <v>23</v>
      </c>
      <c r="D387" s="50"/>
      <c r="E387" s="50"/>
      <c r="F387" s="51"/>
      <c r="G387" s="52"/>
      <c r="H387" s="53">
        <v>23.568167464173175</v>
      </c>
    </row>
    <row r="388" spans="3:8" ht="15.75">
      <c r="C388" s="49" t="s">
        <v>24</v>
      </c>
      <c r="D388" s="50"/>
      <c r="E388" s="50"/>
      <c r="F388" s="51"/>
      <c r="G388" s="52"/>
      <c r="H388" s="36">
        <v>119.24</v>
      </c>
    </row>
    <row r="389" spans="3:8">
      <c r="C389" s="4"/>
      <c r="D389" s="4"/>
      <c r="E389" s="4"/>
      <c r="F389" s="4"/>
      <c r="G389" s="4"/>
      <c r="H389" s="4"/>
    </row>
    <row r="390" spans="3:8" ht="30">
      <c r="C390" s="5" t="s">
        <v>1</v>
      </c>
      <c r="D390" s="6" t="s">
        <v>122</v>
      </c>
      <c r="E390" s="6"/>
      <c r="F390" s="7"/>
      <c r="G390" s="8"/>
      <c r="H390" s="9"/>
    </row>
    <row r="391" spans="3:8">
      <c r="C391" s="10" t="s">
        <v>3</v>
      </c>
      <c r="D391" s="11" t="s">
        <v>123</v>
      </c>
      <c r="E391" s="12"/>
      <c r="F391" s="13" t="s">
        <v>5</v>
      </c>
      <c r="G391" s="14" t="s">
        <v>124</v>
      </c>
      <c r="H391" s="15">
        <v>8.7100000000000009</v>
      </c>
    </row>
    <row r="392" spans="3:8">
      <c r="C392" s="16" t="s">
        <v>7</v>
      </c>
      <c r="D392" s="16" t="s">
        <v>8</v>
      </c>
      <c r="E392" s="16" t="s">
        <v>9</v>
      </c>
      <c r="F392" s="17" t="s">
        <v>10</v>
      </c>
      <c r="G392" s="18" t="s">
        <v>11</v>
      </c>
      <c r="H392" s="18" t="s">
        <v>12</v>
      </c>
    </row>
    <row r="393" spans="3:8">
      <c r="C393" s="16"/>
      <c r="D393" s="16"/>
      <c r="E393" s="16"/>
      <c r="F393" s="17"/>
      <c r="G393" s="19"/>
      <c r="H393" s="19"/>
    </row>
    <row r="394" spans="3:8">
      <c r="C394" s="20" t="s">
        <v>13</v>
      </c>
      <c r="D394" s="21" t="s">
        <v>14</v>
      </c>
      <c r="E394" s="22"/>
      <c r="F394" s="23"/>
      <c r="G394" s="24"/>
      <c r="H394" s="25"/>
    </row>
    <row r="395" spans="3:8">
      <c r="C395" s="22"/>
      <c r="D395" s="77"/>
      <c r="E395" s="22"/>
      <c r="F395" s="23"/>
      <c r="G395" s="30"/>
      <c r="H395" s="44"/>
    </row>
    <row r="396" spans="3:8">
      <c r="C396" s="22"/>
      <c r="D396" s="48"/>
      <c r="E396" s="28"/>
      <c r="F396" s="43"/>
      <c r="G396" s="29"/>
      <c r="H396" s="30"/>
    </row>
    <row r="397" spans="3:8">
      <c r="C397" s="22"/>
      <c r="D397" s="48"/>
      <c r="E397" s="22"/>
      <c r="F397" s="43"/>
      <c r="G397" s="29">
        <v>0</v>
      </c>
      <c r="H397" s="30">
        <v>0</v>
      </c>
    </row>
    <row r="398" spans="3:8">
      <c r="C398" s="22"/>
      <c r="D398" s="48"/>
      <c r="E398" s="22"/>
      <c r="F398" s="43"/>
      <c r="G398" s="29">
        <v>0</v>
      </c>
      <c r="H398" s="30">
        <v>0</v>
      </c>
    </row>
    <row r="399" spans="3:8">
      <c r="C399" s="22"/>
      <c r="D399" s="48"/>
      <c r="E399" s="22"/>
      <c r="F399" s="43"/>
      <c r="G399" s="29">
        <v>0</v>
      </c>
      <c r="H399" s="30">
        <v>0</v>
      </c>
    </row>
    <row r="400" spans="3:8">
      <c r="C400" s="22"/>
      <c r="D400" s="48"/>
      <c r="E400" s="22"/>
      <c r="F400" s="43"/>
      <c r="G400" s="29">
        <v>0</v>
      </c>
      <c r="H400" s="30">
        <v>0</v>
      </c>
    </row>
    <row r="401" spans="3:8">
      <c r="C401" s="22"/>
      <c r="D401" s="48"/>
      <c r="E401" s="22"/>
      <c r="F401" s="43"/>
      <c r="G401" s="29">
        <v>0</v>
      </c>
      <c r="H401" s="30">
        <v>0</v>
      </c>
    </row>
    <row r="402" spans="3:8">
      <c r="C402" s="22"/>
      <c r="D402" s="48"/>
      <c r="E402" s="22"/>
      <c r="F402" s="43"/>
      <c r="G402" s="29">
        <v>0</v>
      </c>
      <c r="H402" s="30">
        <v>0</v>
      </c>
    </row>
    <row r="403" spans="3:8">
      <c r="C403" s="22"/>
      <c r="D403" s="48"/>
      <c r="E403" s="22"/>
      <c r="F403" s="43"/>
      <c r="G403" s="29">
        <v>0</v>
      </c>
      <c r="H403" s="30">
        <v>0</v>
      </c>
    </row>
    <row r="404" spans="3:8">
      <c r="C404" s="22"/>
      <c r="D404" s="48"/>
      <c r="E404" s="22"/>
      <c r="F404" s="43"/>
      <c r="G404" s="29">
        <v>0</v>
      </c>
      <c r="H404" s="30">
        <v>0</v>
      </c>
    </row>
    <row r="405" spans="3:8">
      <c r="C405" s="22"/>
      <c r="D405" s="48"/>
      <c r="E405" s="22"/>
      <c r="F405" s="43"/>
      <c r="G405" s="29">
        <v>0</v>
      </c>
      <c r="H405" s="30">
        <v>0</v>
      </c>
    </row>
    <row r="406" spans="3:8">
      <c r="C406" s="22"/>
      <c r="D406" s="48"/>
      <c r="E406" s="22"/>
      <c r="F406" s="43"/>
      <c r="G406" s="29">
        <v>0</v>
      </c>
      <c r="H406" s="30">
        <v>0</v>
      </c>
    </row>
    <row r="407" spans="3:8">
      <c r="C407" s="26"/>
      <c r="D407" s="48"/>
      <c r="E407" s="22"/>
      <c r="F407" s="57"/>
      <c r="G407" s="29">
        <v>0</v>
      </c>
      <c r="H407" s="30">
        <v>0</v>
      </c>
    </row>
    <row r="408" spans="3:8">
      <c r="C408" s="26"/>
      <c r="D408" s="27"/>
      <c r="E408" s="22"/>
      <c r="F408" s="32"/>
      <c r="G408" s="29">
        <v>0</v>
      </c>
      <c r="H408" s="30">
        <v>0</v>
      </c>
    </row>
    <row r="409" spans="3:8">
      <c r="C409" s="22"/>
      <c r="D409" s="27"/>
      <c r="E409" s="22"/>
      <c r="F409" s="32"/>
      <c r="G409" s="30">
        <v>0</v>
      </c>
      <c r="H409" s="30">
        <v>0</v>
      </c>
    </row>
    <row r="410" spans="3:8">
      <c r="C410" s="26"/>
      <c r="D410" s="31"/>
      <c r="E410" s="22"/>
      <c r="F410" s="32"/>
      <c r="G410" s="33">
        <v>0</v>
      </c>
      <c r="H410" s="30">
        <v>0</v>
      </c>
    </row>
    <row r="411" spans="3:8">
      <c r="C411" s="34" t="s">
        <v>15</v>
      </c>
      <c r="D411" s="34"/>
      <c r="E411" s="34"/>
      <c r="F411" s="35"/>
      <c r="G411" s="34"/>
      <c r="H411" s="36">
        <v>0</v>
      </c>
    </row>
    <row r="412" spans="3:8">
      <c r="C412" s="37" t="s">
        <v>16</v>
      </c>
      <c r="D412" s="38" t="s">
        <v>17</v>
      </c>
      <c r="E412" s="39"/>
      <c r="F412" s="40"/>
      <c r="G412" s="41"/>
      <c r="H412" s="41"/>
    </row>
    <row r="413" spans="3:8">
      <c r="C413" s="22" t="s">
        <v>31</v>
      </c>
      <c r="D413" s="77" t="s">
        <v>120</v>
      </c>
      <c r="E413" s="22" t="s">
        <v>29</v>
      </c>
      <c r="F413" s="23">
        <v>5.2467310272138697E-2</v>
      </c>
      <c r="G413" s="30">
        <v>133.24472168674373</v>
      </c>
      <c r="H413" s="44">
        <v>6.9909921548631511</v>
      </c>
    </row>
    <row r="414" spans="3:8">
      <c r="C414" s="22"/>
      <c r="D414" s="58"/>
      <c r="E414" s="22"/>
      <c r="F414" s="23"/>
      <c r="G414" s="30">
        <v>0</v>
      </c>
      <c r="H414" s="44">
        <v>0</v>
      </c>
    </row>
    <row r="415" spans="3:8">
      <c r="C415" s="22"/>
      <c r="D415" s="58"/>
      <c r="E415" s="22"/>
      <c r="F415" s="23"/>
      <c r="G415" s="30">
        <v>0</v>
      </c>
      <c r="H415" s="44">
        <v>0</v>
      </c>
    </row>
    <row r="416" spans="3:8">
      <c r="C416" s="22"/>
      <c r="D416" s="58"/>
      <c r="E416" s="22"/>
      <c r="F416" s="23"/>
      <c r="G416" s="30">
        <v>0</v>
      </c>
      <c r="H416" s="44">
        <v>0</v>
      </c>
    </row>
    <row r="417" spans="3:8">
      <c r="C417" s="22"/>
      <c r="D417" s="58"/>
      <c r="E417" s="22"/>
      <c r="F417" s="23"/>
      <c r="G417" s="30">
        <v>0</v>
      </c>
      <c r="H417" s="44">
        <v>0</v>
      </c>
    </row>
    <row r="418" spans="3:8">
      <c r="C418" s="22"/>
      <c r="D418" s="58"/>
      <c r="E418" s="22"/>
      <c r="F418" s="23"/>
      <c r="G418" s="30">
        <v>0</v>
      </c>
      <c r="H418" s="44">
        <v>0</v>
      </c>
    </row>
    <row r="419" spans="3:8">
      <c r="C419" s="22"/>
      <c r="D419" s="58"/>
      <c r="E419" s="22"/>
      <c r="F419" s="32"/>
      <c r="G419" s="45">
        <v>0</v>
      </c>
      <c r="H419" s="44">
        <v>0</v>
      </c>
    </row>
    <row r="420" spans="3:8">
      <c r="C420" s="22"/>
      <c r="D420" s="27"/>
      <c r="E420" s="22"/>
      <c r="F420" s="32"/>
      <c r="G420" s="30">
        <v>0</v>
      </c>
      <c r="H420" s="44">
        <v>0</v>
      </c>
    </row>
    <row r="421" spans="3:8">
      <c r="C421" s="34" t="s">
        <v>18</v>
      </c>
      <c r="D421" s="34"/>
      <c r="E421" s="34"/>
      <c r="F421" s="35"/>
      <c r="G421" s="34"/>
      <c r="H421" s="36">
        <v>6.9909921548631511</v>
      </c>
    </row>
    <row r="422" spans="3:8">
      <c r="C422" s="37" t="s">
        <v>19</v>
      </c>
      <c r="D422" s="38" t="s">
        <v>20</v>
      </c>
      <c r="E422" s="39"/>
      <c r="F422" s="46"/>
      <c r="G422" s="47"/>
      <c r="H422" s="47">
        <v>0</v>
      </c>
    </row>
    <row r="423" spans="3:8">
      <c r="C423" s="22"/>
      <c r="D423" s="42"/>
      <c r="E423" s="22"/>
      <c r="F423" s="23"/>
      <c r="G423" s="33">
        <v>0</v>
      </c>
      <c r="H423" s="33">
        <v>0</v>
      </c>
    </row>
    <row r="424" spans="3:8">
      <c r="C424" s="28"/>
      <c r="D424" s="48"/>
      <c r="E424" s="28"/>
      <c r="F424" s="23"/>
      <c r="G424" s="33">
        <v>0</v>
      </c>
      <c r="H424" s="33">
        <v>0</v>
      </c>
    </row>
    <row r="425" spans="3:8">
      <c r="C425" s="28"/>
      <c r="D425" s="48"/>
      <c r="E425" s="28"/>
      <c r="F425" s="23"/>
      <c r="G425" s="33">
        <v>0</v>
      </c>
      <c r="H425" s="44">
        <v>0</v>
      </c>
    </row>
    <row r="426" spans="3:8">
      <c r="C426" s="28"/>
      <c r="D426" s="48"/>
      <c r="E426" s="28"/>
      <c r="F426" s="23"/>
      <c r="G426" s="33">
        <v>0</v>
      </c>
      <c r="H426" s="44">
        <v>0</v>
      </c>
    </row>
    <row r="427" spans="3:8">
      <c r="C427" s="28"/>
      <c r="D427" s="48"/>
      <c r="E427" s="28"/>
      <c r="F427" s="23"/>
      <c r="G427" s="33">
        <v>0</v>
      </c>
      <c r="H427" s="44">
        <v>0</v>
      </c>
    </row>
    <row r="428" spans="3:8">
      <c r="C428" s="28"/>
      <c r="D428" s="48"/>
      <c r="E428" s="28"/>
      <c r="F428" s="23"/>
      <c r="G428" s="33">
        <v>0</v>
      </c>
      <c r="H428" s="44">
        <v>0</v>
      </c>
    </row>
    <row r="429" spans="3:8">
      <c r="C429" s="22"/>
      <c r="D429" s="27"/>
      <c r="E429" s="22"/>
      <c r="F429" s="64"/>
      <c r="G429" s="65">
        <v>0</v>
      </c>
      <c r="H429" s="44">
        <v>0</v>
      </c>
    </row>
    <row r="430" spans="3:8">
      <c r="C430" s="34" t="s">
        <v>21</v>
      </c>
      <c r="D430" s="34"/>
      <c r="E430" s="34"/>
      <c r="F430" s="35"/>
      <c r="G430" s="34"/>
      <c r="H430" s="36">
        <v>0</v>
      </c>
    </row>
    <row r="431" spans="3:8" ht="15.75">
      <c r="C431" s="49" t="s">
        <v>22</v>
      </c>
      <c r="D431" s="50"/>
      <c r="E431" s="50"/>
      <c r="F431" s="51"/>
      <c r="G431" s="52"/>
      <c r="H431" s="36">
        <v>6.9909921548631511</v>
      </c>
    </row>
    <row r="432" spans="3:8" ht="15.75">
      <c r="C432" s="49" t="s">
        <v>23</v>
      </c>
      <c r="D432" s="50"/>
      <c r="E432" s="50"/>
      <c r="F432" s="51"/>
      <c r="G432" s="52"/>
      <c r="H432" s="53">
        <v>1.7222409161425842</v>
      </c>
    </row>
    <row r="433" spans="3:8" ht="15.75">
      <c r="C433" s="49" t="s">
        <v>24</v>
      </c>
      <c r="D433" s="50"/>
      <c r="E433" s="50"/>
      <c r="F433" s="51"/>
      <c r="G433" s="52"/>
      <c r="H433" s="36">
        <v>8.7100000000000009</v>
      </c>
    </row>
    <row r="434" spans="3:8">
      <c r="C434" s="4"/>
      <c r="D434" s="4"/>
      <c r="E434" s="4"/>
      <c r="F434" s="4"/>
      <c r="G434" s="4"/>
      <c r="H434" s="4"/>
    </row>
    <row r="435" spans="3:8" ht="21" customHeight="1">
      <c r="C435" s="5" t="s">
        <v>1</v>
      </c>
      <c r="D435" s="6" t="s">
        <v>125</v>
      </c>
      <c r="E435" s="6"/>
      <c r="F435" s="7"/>
      <c r="G435" s="8"/>
      <c r="H435" s="9"/>
    </row>
    <row r="436" spans="3:8">
      <c r="C436" s="10" t="s">
        <v>3</v>
      </c>
      <c r="D436" s="11" t="s">
        <v>126</v>
      </c>
      <c r="E436" s="12"/>
      <c r="F436" s="13" t="s">
        <v>5</v>
      </c>
      <c r="G436" s="14" t="s">
        <v>106</v>
      </c>
      <c r="H436" s="15">
        <v>71.67</v>
      </c>
    </row>
    <row r="437" spans="3:8">
      <c r="C437" s="16" t="s">
        <v>7</v>
      </c>
      <c r="D437" s="16" t="s">
        <v>8</v>
      </c>
      <c r="E437" s="16" t="s">
        <v>9</v>
      </c>
      <c r="F437" s="17" t="s">
        <v>10</v>
      </c>
      <c r="G437" s="18" t="s">
        <v>11</v>
      </c>
      <c r="H437" s="18" t="s">
        <v>12</v>
      </c>
    </row>
    <row r="438" spans="3:8">
      <c r="C438" s="16"/>
      <c r="D438" s="16"/>
      <c r="E438" s="16"/>
      <c r="F438" s="17"/>
      <c r="G438" s="19"/>
      <c r="H438" s="19"/>
    </row>
    <row r="439" spans="3:8">
      <c r="C439" s="20" t="s">
        <v>13</v>
      </c>
      <c r="D439" s="21" t="s">
        <v>14</v>
      </c>
      <c r="E439" s="22"/>
      <c r="F439" s="23"/>
      <c r="G439" s="24"/>
      <c r="H439" s="25"/>
    </row>
    <row r="440" spans="3:8">
      <c r="C440" s="22"/>
      <c r="D440" s="48"/>
      <c r="E440" s="28"/>
      <c r="F440" s="43"/>
      <c r="G440" s="29">
        <v>0</v>
      </c>
      <c r="H440" s="30">
        <v>0</v>
      </c>
    </row>
    <row r="441" spans="3:8">
      <c r="C441" s="22"/>
      <c r="D441" s="48"/>
      <c r="E441" s="28"/>
      <c r="F441" s="43"/>
      <c r="G441" s="29">
        <v>0</v>
      </c>
      <c r="H441" s="30">
        <v>0</v>
      </c>
    </row>
    <row r="442" spans="3:8">
      <c r="C442" s="22"/>
      <c r="D442" s="48"/>
      <c r="E442" s="22"/>
      <c r="F442" s="43"/>
      <c r="G442" s="29">
        <v>0</v>
      </c>
      <c r="H442" s="30">
        <v>0</v>
      </c>
    </row>
    <row r="443" spans="3:8">
      <c r="C443" s="22"/>
      <c r="D443" s="48"/>
      <c r="E443" s="22"/>
      <c r="F443" s="43"/>
      <c r="G443" s="29">
        <v>0</v>
      </c>
      <c r="H443" s="30">
        <v>0</v>
      </c>
    </row>
    <row r="444" spans="3:8">
      <c r="C444" s="22"/>
      <c r="D444" s="48"/>
      <c r="E444" s="22"/>
      <c r="F444" s="43"/>
      <c r="G444" s="29">
        <v>0</v>
      </c>
      <c r="H444" s="30">
        <v>0</v>
      </c>
    </row>
    <row r="445" spans="3:8">
      <c r="C445" s="22"/>
      <c r="D445" s="48"/>
      <c r="E445" s="22"/>
      <c r="F445" s="43"/>
      <c r="G445" s="29">
        <v>0</v>
      </c>
      <c r="H445" s="30">
        <v>0</v>
      </c>
    </row>
    <row r="446" spans="3:8">
      <c r="C446" s="22"/>
      <c r="D446" s="48"/>
      <c r="E446" s="22"/>
      <c r="F446" s="43"/>
      <c r="G446" s="29">
        <v>0</v>
      </c>
      <c r="H446" s="30">
        <v>0</v>
      </c>
    </row>
    <row r="447" spans="3:8">
      <c r="C447" s="22"/>
      <c r="D447" s="48"/>
      <c r="E447" s="22"/>
      <c r="F447" s="43"/>
      <c r="G447" s="29">
        <v>0</v>
      </c>
      <c r="H447" s="30">
        <v>0</v>
      </c>
    </row>
    <row r="448" spans="3:8">
      <c r="C448" s="22"/>
      <c r="D448" s="48"/>
      <c r="E448" s="22"/>
      <c r="F448" s="43"/>
      <c r="G448" s="29">
        <v>0</v>
      </c>
      <c r="H448" s="30">
        <v>0</v>
      </c>
    </row>
    <row r="449" spans="3:8">
      <c r="C449" s="22"/>
      <c r="D449" s="48"/>
      <c r="E449" s="22"/>
      <c r="F449" s="43"/>
      <c r="G449" s="29">
        <v>0</v>
      </c>
      <c r="H449" s="30">
        <v>0</v>
      </c>
    </row>
    <row r="450" spans="3:8">
      <c r="C450" s="22"/>
      <c r="D450" s="48"/>
      <c r="E450" s="22"/>
      <c r="F450" s="43"/>
      <c r="G450" s="29">
        <v>0</v>
      </c>
      <c r="H450" s="30">
        <v>0</v>
      </c>
    </row>
    <row r="451" spans="3:8">
      <c r="C451" s="22"/>
      <c r="D451" s="48"/>
      <c r="E451" s="22"/>
      <c r="F451" s="43"/>
      <c r="G451" s="29">
        <v>0</v>
      </c>
      <c r="H451" s="30">
        <v>0</v>
      </c>
    </row>
    <row r="452" spans="3:8">
      <c r="C452" s="26"/>
      <c r="D452" s="48"/>
      <c r="E452" s="22"/>
      <c r="F452" s="57"/>
      <c r="G452" s="29">
        <v>0</v>
      </c>
      <c r="H452" s="30">
        <v>0</v>
      </c>
    </row>
    <row r="453" spans="3:8">
      <c r="C453" s="26"/>
      <c r="D453" s="27"/>
      <c r="E453" s="22"/>
      <c r="F453" s="32"/>
      <c r="G453" s="29">
        <v>0</v>
      </c>
      <c r="H453" s="30">
        <v>0</v>
      </c>
    </row>
    <row r="454" spans="3:8">
      <c r="C454" s="22"/>
      <c r="D454" s="27"/>
      <c r="E454" s="22"/>
      <c r="F454" s="32"/>
      <c r="G454" s="30">
        <v>0</v>
      </c>
      <c r="H454" s="30">
        <v>0</v>
      </c>
    </row>
    <row r="455" spans="3:8">
      <c r="C455" s="26"/>
      <c r="D455" s="31"/>
      <c r="E455" s="22"/>
      <c r="F455" s="32"/>
      <c r="G455" s="33">
        <v>0</v>
      </c>
      <c r="H455" s="30">
        <v>0</v>
      </c>
    </row>
    <row r="456" spans="3:8">
      <c r="C456" s="34" t="s">
        <v>15</v>
      </c>
      <c r="D456" s="34"/>
      <c r="E456" s="34"/>
      <c r="F456" s="35"/>
      <c r="G456" s="34"/>
      <c r="H456" s="36">
        <v>0</v>
      </c>
    </row>
    <row r="457" spans="3:8">
      <c r="C457" s="37" t="s">
        <v>16</v>
      </c>
      <c r="D457" s="38" t="s">
        <v>17</v>
      </c>
      <c r="E457" s="39"/>
      <c r="F457" s="40"/>
      <c r="G457" s="41"/>
      <c r="H457" s="41"/>
    </row>
    <row r="458" spans="3:8">
      <c r="C458" s="22"/>
      <c r="D458" s="27"/>
      <c r="E458" s="22"/>
      <c r="F458" s="23"/>
      <c r="G458" s="30">
        <v>0</v>
      </c>
      <c r="H458" s="44">
        <v>0</v>
      </c>
    </row>
    <row r="459" spans="3:8">
      <c r="C459" s="22"/>
      <c r="D459" s="58"/>
      <c r="E459" s="22"/>
      <c r="F459" s="23"/>
      <c r="G459" s="30">
        <v>0</v>
      </c>
      <c r="H459" s="44">
        <v>0</v>
      </c>
    </row>
    <row r="460" spans="3:8">
      <c r="C460" s="22"/>
      <c r="D460" s="58"/>
      <c r="E460" s="22"/>
      <c r="F460" s="23"/>
      <c r="G460" s="30">
        <v>0</v>
      </c>
      <c r="H460" s="44">
        <v>0</v>
      </c>
    </row>
    <row r="461" spans="3:8">
      <c r="C461" s="22"/>
      <c r="D461" s="58"/>
      <c r="E461" s="22"/>
      <c r="F461" s="23"/>
      <c r="G461" s="30">
        <v>0</v>
      </c>
      <c r="H461" s="44">
        <v>0</v>
      </c>
    </row>
    <row r="462" spans="3:8">
      <c r="C462" s="22"/>
      <c r="D462" s="58"/>
      <c r="E462" s="22"/>
      <c r="F462" s="23"/>
      <c r="G462" s="30">
        <v>0</v>
      </c>
      <c r="H462" s="44">
        <v>0</v>
      </c>
    </row>
    <row r="463" spans="3:8">
      <c r="C463" s="22"/>
      <c r="D463" s="58"/>
      <c r="E463" s="22"/>
      <c r="F463" s="23"/>
      <c r="G463" s="30">
        <v>0</v>
      </c>
      <c r="H463" s="44">
        <v>0</v>
      </c>
    </row>
    <row r="464" spans="3:8">
      <c r="C464" s="22"/>
      <c r="D464" s="58"/>
      <c r="E464" s="22"/>
      <c r="F464" s="32"/>
      <c r="G464" s="45">
        <v>0</v>
      </c>
      <c r="H464" s="44">
        <v>0</v>
      </c>
    </row>
    <row r="465" spans="3:8">
      <c r="C465" s="22"/>
      <c r="D465" s="27"/>
      <c r="E465" s="22"/>
      <c r="F465" s="32"/>
      <c r="G465" s="30">
        <v>0</v>
      </c>
      <c r="H465" s="44">
        <v>0</v>
      </c>
    </row>
    <row r="466" spans="3:8">
      <c r="C466" s="34" t="s">
        <v>18</v>
      </c>
      <c r="D466" s="34"/>
      <c r="E466" s="34"/>
      <c r="F466" s="35"/>
      <c r="G466" s="34"/>
      <c r="H466" s="36">
        <v>0</v>
      </c>
    </row>
    <row r="467" spans="3:8">
      <c r="C467" s="37" t="s">
        <v>19</v>
      </c>
      <c r="D467" s="38" t="s">
        <v>20</v>
      </c>
      <c r="E467" s="39"/>
      <c r="F467" s="46"/>
      <c r="G467" s="47"/>
      <c r="H467" s="47">
        <v>0</v>
      </c>
    </row>
    <row r="468" spans="3:8">
      <c r="C468" s="22" t="s">
        <v>98</v>
      </c>
      <c r="D468" s="42" t="s">
        <v>125</v>
      </c>
      <c r="E468" s="22" t="s">
        <v>127</v>
      </c>
      <c r="F468" s="23">
        <v>1</v>
      </c>
      <c r="G468" s="33">
        <v>57.499999999999993</v>
      </c>
      <c r="H468" s="33">
        <v>57.499999999999993</v>
      </c>
    </row>
    <row r="469" spans="3:8">
      <c r="C469" s="28"/>
      <c r="D469" s="48"/>
      <c r="E469" s="28"/>
      <c r="F469" s="23"/>
      <c r="G469" s="33">
        <v>0</v>
      </c>
      <c r="H469" s="33">
        <v>0</v>
      </c>
    </row>
    <row r="470" spans="3:8">
      <c r="C470" s="28"/>
      <c r="D470" s="48"/>
      <c r="E470" s="28"/>
      <c r="F470" s="23"/>
      <c r="G470" s="33">
        <v>0</v>
      </c>
      <c r="H470" s="44">
        <v>0</v>
      </c>
    </row>
    <row r="471" spans="3:8">
      <c r="C471" s="28"/>
      <c r="D471" s="48"/>
      <c r="E471" s="28"/>
      <c r="F471" s="23"/>
      <c r="G471" s="33">
        <v>0</v>
      </c>
      <c r="H471" s="44">
        <v>0</v>
      </c>
    </row>
    <row r="472" spans="3:8">
      <c r="C472" s="28"/>
      <c r="D472" s="48"/>
      <c r="E472" s="28"/>
      <c r="F472" s="23"/>
      <c r="G472" s="33">
        <v>0</v>
      </c>
      <c r="H472" s="44">
        <v>0</v>
      </c>
    </row>
    <row r="473" spans="3:8">
      <c r="C473" s="28"/>
      <c r="D473" s="48"/>
      <c r="E473" s="28"/>
      <c r="F473" s="23"/>
      <c r="G473" s="33">
        <v>0</v>
      </c>
      <c r="H473" s="44">
        <v>0</v>
      </c>
    </row>
    <row r="474" spans="3:8">
      <c r="C474" s="22"/>
      <c r="D474" s="27"/>
      <c r="E474" s="22"/>
      <c r="F474" s="64"/>
      <c r="G474" s="65">
        <v>0</v>
      </c>
      <c r="H474" s="44">
        <v>0</v>
      </c>
    </row>
    <row r="475" spans="3:8">
      <c r="C475" s="34" t="s">
        <v>21</v>
      </c>
      <c r="D475" s="34"/>
      <c r="E475" s="34"/>
      <c r="F475" s="35"/>
      <c r="G475" s="34"/>
      <c r="H475" s="36">
        <v>57.499999999999993</v>
      </c>
    </row>
    <row r="476" spans="3:8" ht="15.75">
      <c r="C476" s="49" t="s">
        <v>22</v>
      </c>
      <c r="D476" s="50"/>
      <c r="E476" s="50"/>
      <c r="F476" s="51"/>
      <c r="G476" s="52"/>
      <c r="H476" s="36">
        <v>57.499999999999993</v>
      </c>
    </row>
    <row r="477" spans="3:8" ht="15.75">
      <c r="C477" s="49" t="s">
        <v>23</v>
      </c>
      <c r="D477" s="50"/>
      <c r="E477" s="50"/>
      <c r="F477" s="51"/>
      <c r="G477" s="52"/>
      <c r="H477" s="53">
        <v>14.165207238762388</v>
      </c>
    </row>
    <row r="478" spans="3:8" ht="15.75">
      <c r="C478" s="49" t="s">
        <v>24</v>
      </c>
      <c r="D478" s="50"/>
      <c r="E478" s="50"/>
      <c r="F478" s="51"/>
      <c r="G478" s="52"/>
      <c r="H478" s="36">
        <v>71.67</v>
      </c>
    </row>
    <row r="479" spans="3:8">
      <c r="C479" s="4"/>
      <c r="D479" s="4"/>
      <c r="E479" s="4"/>
      <c r="F479" s="4"/>
      <c r="G479" s="4"/>
      <c r="H479" s="4"/>
    </row>
    <row r="480" spans="3:8">
      <c r="C480" s="5" t="s">
        <v>1</v>
      </c>
      <c r="D480" s="6" t="s">
        <v>128</v>
      </c>
      <c r="E480" s="6"/>
      <c r="F480" s="7"/>
      <c r="G480" s="8"/>
      <c r="H480" s="9"/>
    </row>
    <row r="481" spans="3:8">
      <c r="C481" s="10" t="s">
        <v>3</v>
      </c>
      <c r="D481" s="11" t="s">
        <v>129</v>
      </c>
      <c r="E481" s="12"/>
      <c r="F481" s="13" t="s">
        <v>5</v>
      </c>
      <c r="G481" s="14" t="s">
        <v>130</v>
      </c>
      <c r="H481" s="15">
        <v>1379.89</v>
      </c>
    </row>
    <row r="482" spans="3:8">
      <c r="C482" s="16" t="s">
        <v>7</v>
      </c>
      <c r="D482" s="16" t="s">
        <v>8</v>
      </c>
      <c r="E482" s="16" t="s">
        <v>9</v>
      </c>
      <c r="F482" s="17" t="s">
        <v>10</v>
      </c>
      <c r="G482" s="18" t="s">
        <v>11</v>
      </c>
      <c r="H482" s="18" t="s">
        <v>12</v>
      </c>
    </row>
    <row r="483" spans="3:8">
      <c r="C483" s="16"/>
      <c r="D483" s="16"/>
      <c r="E483" s="16"/>
      <c r="F483" s="17"/>
      <c r="G483" s="19"/>
      <c r="H483" s="19"/>
    </row>
    <row r="484" spans="3:8">
      <c r="C484" s="20" t="s">
        <v>13</v>
      </c>
      <c r="D484" s="21" t="s">
        <v>14</v>
      </c>
      <c r="E484" s="22"/>
      <c r="F484" s="23"/>
      <c r="G484" s="24"/>
      <c r="H484" s="25"/>
    </row>
    <row r="485" spans="3:8">
      <c r="C485" s="22" t="s">
        <v>107</v>
      </c>
      <c r="D485" s="54" t="s">
        <v>110</v>
      </c>
      <c r="E485" s="22" t="s">
        <v>29</v>
      </c>
      <c r="F485" s="43">
        <v>2.1333943994180529</v>
      </c>
      <c r="G485" s="29">
        <v>44.933633313323234</v>
      </c>
      <c r="H485" s="30">
        <v>95.861161656148241</v>
      </c>
    </row>
    <row r="486" spans="3:8">
      <c r="C486" s="22" t="s">
        <v>107</v>
      </c>
      <c r="D486" s="48" t="s">
        <v>108</v>
      </c>
      <c r="E486" s="22" t="s">
        <v>29</v>
      </c>
      <c r="F486" s="43">
        <v>3.5024459451617487</v>
      </c>
      <c r="G486" s="29">
        <v>65.776570193015658</v>
      </c>
      <c r="H486" s="30">
        <v>230.37888155917483</v>
      </c>
    </row>
    <row r="487" spans="3:8">
      <c r="C487" s="22"/>
      <c r="D487" s="48"/>
      <c r="E487" s="22"/>
      <c r="F487" s="43"/>
      <c r="G487" s="29">
        <v>0</v>
      </c>
      <c r="H487" s="30">
        <v>0</v>
      </c>
    </row>
    <row r="488" spans="3:8">
      <c r="C488" s="22"/>
      <c r="D488" s="48"/>
      <c r="E488" s="22"/>
      <c r="F488" s="43"/>
      <c r="G488" s="29">
        <v>0</v>
      </c>
      <c r="H488" s="30">
        <v>0</v>
      </c>
    </row>
    <row r="489" spans="3:8">
      <c r="C489" s="22"/>
      <c r="D489" s="48"/>
      <c r="E489" s="81"/>
      <c r="F489" s="82"/>
      <c r="G489" s="29">
        <v>0</v>
      </c>
      <c r="H489" s="30">
        <v>0</v>
      </c>
    </row>
    <row r="490" spans="3:8">
      <c r="C490" s="22"/>
      <c r="D490" s="48"/>
      <c r="E490" s="22"/>
      <c r="F490" s="82"/>
      <c r="G490" s="29">
        <v>0</v>
      </c>
      <c r="H490" s="30">
        <v>0</v>
      </c>
    </row>
    <row r="491" spans="3:8">
      <c r="C491" s="26"/>
      <c r="D491" s="48"/>
      <c r="E491" s="22"/>
      <c r="F491" s="82"/>
      <c r="G491" s="29">
        <v>0</v>
      </c>
      <c r="H491" s="30">
        <v>0</v>
      </c>
    </row>
    <row r="492" spans="3:8">
      <c r="C492" s="26"/>
      <c r="D492" s="48"/>
      <c r="E492" s="22"/>
      <c r="F492" s="57"/>
      <c r="G492" s="29">
        <v>0</v>
      </c>
      <c r="H492" s="30">
        <v>0</v>
      </c>
    </row>
    <row r="493" spans="3:8">
      <c r="C493" s="34" t="s">
        <v>15</v>
      </c>
      <c r="D493" s="34"/>
      <c r="E493" s="34"/>
      <c r="F493" s="35"/>
      <c r="G493" s="34"/>
      <c r="H493" s="36">
        <v>326.24004321532306</v>
      </c>
    </row>
    <row r="494" spans="3:8">
      <c r="C494" s="37" t="s">
        <v>16</v>
      </c>
      <c r="D494" s="38" t="s">
        <v>17</v>
      </c>
      <c r="E494" s="39"/>
      <c r="F494" s="40"/>
      <c r="G494" s="41"/>
      <c r="H494" s="41"/>
    </row>
    <row r="495" spans="3:8">
      <c r="C495" s="22" t="s">
        <v>31</v>
      </c>
      <c r="D495" s="83" t="s">
        <v>114</v>
      </c>
      <c r="E495" s="22" t="s">
        <v>6</v>
      </c>
      <c r="F495" s="78">
        <v>0.48750000000000004</v>
      </c>
      <c r="G495" s="30">
        <v>32.624004321532304</v>
      </c>
      <c r="H495" s="30">
        <v>15.904202106747</v>
      </c>
    </row>
    <row r="496" spans="3:8">
      <c r="C496" s="22"/>
      <c r="D496" s="58"/>
      <c r="E496" s="22"/>
      <c r="F496" s="23"/>
      <c r="G496" s="30">
        <v>0</v>
      </c>
      <c r="H496" s="44">
        <v>0</v>
      </c>
    </row>
    <row r="497" spans="3:8">
      <c r="C497" s="22"/>
      <c r="D497" s="58"/>
      <c r="E497" s="22"/>
      <c r="F497" s="23"/>
      <c r="G497" s="30">
        <v>0</v>
      </c>
      <c r="H497" s="44">
        <v>0</v>
      </c>
    </row>
    <row r="498" spans="3:8">
      <c r="C498" s="22"/>
      <c r="D498" s="58"/>
      <c r="E498" s="22"/>
      <c r="F498" s="23"/>
      <c r="G498" s="30">
        <v>0</v>
      </c>
      <c r="H498" s="44">
        <v>0</v>
      </c>
    </row>
    <row r="499" spans="3:8">
      <c r="C499" s="22"/>
      <c r="D499" s="58"/>
      <c r="E499" s="22"/>
      <c r="F499" s="23"/>
      <c r="G499" s="30">
        <v>0</v>
      </c>
      <c r="H499" s="44">
        <v>0</v>
      </c>
    </row>
    <row r="500" spans="3:8">
      <c r="C500" s="22"/>
      <c r="D500" s="58"/>
      <c r="E500" s="22"/>
      <c r="F500" s="23"/>
      <c r="G500" s="30">
        <v>0</v>
      </c>
      <c r="H500" s="44">
        <v>0</v>
      </c>
    </row>
    <row r="501" spans="3:8">
      <c r="C501" s="22"/>
      <c r="D501" s="58"/>
      <c r="E501" s="22"/>
      <c r="F501" s="32"/>
      <c r="G501" s="45">
        <v>0</v>
      </c>
      <c r="H501" s="44">
        <v>0</v>
      </c>
    </row>
    <row r="502" spans="3:8">
      <c r="C502" s="22"/>
      <c r="D502" s="27"/>
      <c r="E502" s="22"/>
      <c r="F502" s="32"/>
      <c r="G502" s="30">
        <v>0</v>
      </c>
      <c r="H502" s="44">
        <v>0</v>
      </c>
    </row>
    <row r="503" spans="3:8">
      <c r="C503" s="34" t="s">
        <v>18</v>
      </c>
      <c r="D503" s="34"/>
      <c r="E503" s="34"/>
      <c r="F503" s="35"/>
      <c r="G503" s="34"/>
      <c r="H503" s="36">
        <v>15.904202106747</v>
      </c>
    </row>
    <row r="504" spans="3:8">
      <c r="C504" s="37" t="s">
        <v>19</v>
      </c>
      <c r="D504" s="38" t="s">
        <v>20</v>
      </c>
      <c r="E504" s="39"/>
      <c r="F504" s="46"/>
      <c r="G504" s="47"/>
      <c r="H504" s="47">
        <v>0</v>
      </c>
    </row>
    <row r="505" spans="3:8">
      <c r="C505" s="28" t="s">
        <v>55</v>
      </c>
      <c r="D505" s="48" t="s">
        <v>131</v>
      </c>
      <c r="E505" s="28" t="s">
        <v>132</v>
      </c>
      <c r="F505" s="23">
        <v>1.1000000000000001</v>
      </c>
      <c r="G505" s="33">
        <v>650</v>
      </c>
      <c r="H505" s="33">
        <v>715.00000000000011</v>
      </c>
    </row>
    <row r="506" spans="3:8">
      <c r="C506" s="28" t="s">
        <v>55</v>
      </c>
      <c r="D506" s="48" t="s">
        <v>133</v>
      </c>
      <c r="E506" s="28" t="s">
        <v>132</v>
      </c>
      <c r="F506" s="23">
        <v>1</v>
      </c>
      <c r="G506" s="33">
        <v>50</v>
      </c>
      <c r="H506" s="44">
        <v>50</v>
      </c>
    </row>
    <row r="507" spans="3:8">
      <c r="C507" s="28"/>
      <c r="D507" s="48"/>
      <c r="E507" s="28"/>
      <c r="F507" s="23"/>
      <c r="G507" s="33">
        <v>0</v>
      </c>
      <c r="H507" s="44">
        <v>0</v>
      </c>
    </row>
    <row r="508" spans="3:8">
      <c r="C508" s="28"/>
      <c r="D508" s="48"/>
      <c r="E508" s="28"/>
      <c r="F508" s="23"/>
      <c r="G508" s="33">
        <v>0</v>
      </c>
      <c r="H508" s="44">
        <v>0</v>
      </c>
    </row>
    <row r="509" spans="3:8">
      <c r="C509" s="28"/>
      <c r="D509" s="48"/>
      <c r="E509" s="28"/>
      <c r="F509" s="23"/>
      <c r="G509" s="33">
        <v>0</v>
      </c>
      <c r="H509" s="44">
        <v>0</v>
      </c>
    </row>
    <row r="510" spans="3:8">
      <c r="C510" s="28"/>
      <c r="D510" s="48"/>
      <c r="E510" s="28"/>
      <c r="F510" s="23"/>
      <c r="G510" s="33">
        <v>0</v>
      </c>
      <c r="H510" s="44">
        <v>0</v>
      </c>
    </row>
    <row r="511" spans="3:8">
      <c r="C511" s="28"/>
      <c r="D511" s="48"/>
      <c r="E511" s="28"/>
      <c r="F511" s="23"/>
      <c r="G511" s="33">
        <v>0</v>
      </c>
      <c r="H511" s="44">
        <v>0</v>
      </c>
    </row>
    <row r="512" spans="3:8">
      <c r="C512" s="34" t="s">
        <v>21</v>
      </c>
      <c r="D512" s="34"/>
      <c r="E512" s="34"/>
      <c r="F512" s="35"/>
      <c r="G512" s="34"/>
      <c r="H512" s="36">
        <v>765.00000000000011</v>
      </c>
    </row>
    <row r="513" spans="3:8" ht="15.75">
      <c r="C513" s="49" t="s">
        <v>22</v>
      </c>
      <c r="D513" s="50"/>
      <c r="E513" s="50"/>
      <c r="F513" s="51"/>
      <c r="G513" s="52"/>
      <c r="H513" s="36">
        <v>1107.1442453220702</v>
      </c>
    </row>
    <row r="514" spans="3:8" ht="15.75">
      <c r="C514" s="49" t="s">
        <v>23</v>
      </c>
      <c r="D514" s="50"/>
      <c r="E514" s="50"/>
      <c r="F514" s="51"/>
      <c r="G514" s="52"/>
      <c r="H514" s="53">
        <v>272.74656831635326</v>
      </c>
    </row>
    <row r="515" spans="3:8" ht="15.75">
      <c r="C515" s="49" t="s">
        <v>24</v>
      </c>
      <c r="D515" s="50"/>
      <c r="E515" s="50"/>
      <c r="F515" s="51"/>
      <c r="G515" s="52"/>
      <c r="H515" s="36">
        <v>1379.89</v>
      </c>
    </row>
    <row r="516" spans="3:8" ht="15.75">
      <c r="C516" s="84"/>
      <c r="D516" s="84"/>
      <c r="E516" s="84"/>
      <c r="F516" s="85"/>
      <c r="G516" s="84"/>
      <c r="H516" s="86"/>
    </row>
    <row r="517" spans="3:8" ht="30">
      <c r="C517" s="5" t="s">
        <v>1</v>
      </c>
      <c r="D517" s="6" t="s">
        <v>134</v>
      </c>
      <c r="E517" s="6"/>
      <c r="F517" s="7"/>
      <c r="G517" s="8"/>
      <c r="H517" s="9"/>
    </row>
    <row r="518" spans="3:8">
      <c r="C518" s="10" t="s">
        <v>3</v>
      </c>
      <c r="D518" s="11" t="s">
        <v>135</v>
      </c>
      <c r="E518" s="12"/>
      <c r="F518" s="13" t="s">
        <v>5</v>
      </c>
      <c r="G518" s="14" t="s">
        <v>106</v>
      </c>
      <c r="H518" s="15">
        <v>6077.01</v>
      </c>
    </row>
    <row r="519" spans="3:8">
      <c r="C519" s="16" t="s">
        <v>7</v>
      </c>
      <c r="D519" s="16" t="s">
        <v>8</v>
      </c>
      <c r="E519" s="16" t="s">
        <v>9</v>
      </c>
      <c r="F519" s="17" t="s">
        <v>10</v>
      </c>
      <c r="G519" s="18" t="s">
        <v>11</v>
      </c>
      <c r="H519" s="18" t="s">
        <v>12</v>
      </c>
    </row>
    <row r="520" spans="3:8">
      <c r="C520" s="16"/>
      <c r="D520" s="16"/>
      <c r="E520" s="16"/>
      <c r="F520" s="17"/>
      <c r="G520" s="19"/>
      <c r="H520" s="19"/>
    </row>
    <row r="521" spans="3:8">
      <c r="C521" s="20" t="s">
        <v>13</v>
      </c>
      <c r="D521" s="21" t="s">
        <v>14</v>
      </c>
      <c r="E521" s="22"/>
      <c r="F521" s="23"/>
      <c r="G521" s="24"/>
      <c r="H521" s="25"/>
    </row>
    <row r="522" spans="3:8">
      <c r="C522" s="22" t="s">
        <v>27</v>
      </c>
      <c r="D522" s="54" t="s">
        <v>136</v>
      </c>
      <c r="E522" s="22" t="s">
        <v>109</v>
      </c>
      <c r="F522" s="43">
        <v>10.216876859741699</v>
      </c>
      <c r="G522" s="29">
        <v>90.031958516899593</v>
      </c>
      <c r="H522" s="30">
        <v>919.84543360853604</v>
      </c>
    </row>
    <row r="523" spans="3:8">
      <c r="C523" s="22" t="s">
        <v>27</v>
      </c>
      <c r="D523" s="48" t="s">
        <v>28</v>
      </c>
      <c r="E523" s="22" t="s">
        <v>109</v>
      </c>
      <c r="F523" s="43">
        <v>8.6639814990290294</v>
      </c>
      <c r="G523" s="29">
        <v>79.456006436582371</v>
      </c>
      <c r="H523" s="30">
        <v>688.40536975328109</v>
      </c>
    </row>
    <row r="524" spans="3:8">
      <c r="C524" s="22" t="s">
        <v>27</v>
      </c>
      <c r="D524" s="48" t="s">
        <v>137</v>
      </c>
      <c r="E524" s="81" t="s">
        <v>109</v>
      </c>
      <c r="F524" s="87">
        <v>3.4121987106697298</v>
      </c>
      <c r="G524" s="29">
        <v>89.242314887296516</v>
      </c>
      <c r="H524" s="30">
        <v>304.51251179561518</v>
      </c>
    </row>
    <row r="525" spans="3:8">
      <c r="C525" s="22" t="s">
        <v>27</v>
      </c>
      <c r="D525" s="48" t="s">
        <v>30</v>
      </c>
      <c r="E525" s="81" t="s">
        <v>109</v>
      </c>
      <c r="F525" s="43">
        <v>9.2260602698387899</v>
      </c>
      <c r="G525" s="29">
        <v>45.411750977784656</v>
      </c>
      <c r="H525" s="30">
        <v>418.97155147995181</v>
      </c>
    </row>
    <row r="526" spans="3:8">
      <c r="C526" s="22" t="s">
        <v>27</v>
      </c>
      <c r="D526" s="48" t="s">
        <v>138</v>
      </c>
      <c r="E526" s="22" t="s">
        <v>109</v>
      </c>
      <c r="F526" s="43">
        <v>7.0583943147396901</v>
      </c>
      <c r="G526" s="29">
        <v>74.717676591289091</v>
      </c>
      <c r="H526" s="30">
        <v>527.38682366251373</v>
      </c>
    </row>
    <row r="527" spans="3:8">
      <c r="C527" s="22" t="s">
        <v>27</v>
      </c>
      <c r="D527" s="48" t="s">
        <v>111</v>
      </c>
      <c r="E527" s="22" t="s">
        <v>109</v>
      </c>
      <c r="F527" s="43">
        <v>1.1224708356253501</v>
      </c>
      <c r="G527" s="29">
        <v>52.035429693461786</v>
      </c>
      <c r="H527" s="30">
        <v>58.408252250144209</v>
      </c>
    </row>
    <row r="528" spans="3:8">
      <c r="C528" s="26"/>
      <c r="D528" s="48"/>
      <c r="E528" s="22"/>
      <c r="F528" s="57"/>
      <c r="G528" s="29"/>
      <c r="H528" s="30">
        <v>0</v>
      </c>
    </row>
    <row r="529" spans="3:8">
      <c r="C529" s="34" t="s">
        <v>15</v>
      </c>
      <c r="D529" s="34"/>
      <c r="E529" s="34"/>
      <c r="F529" s="35"/>
      <c r="G529" s="34"/>
      <c r="H529" s="36">
        <v>2917.5299425500421</v>
      </c>
    </row>
    <row r="530" spans="3:8">
      <c r="C530" s="37" t="s">
        <v>16</v>
      </c>
      <c r="D530" s="38" t="s">
        <v>17</v>
      </c>
      <c r="E530" s="39"/>
      <c r="F530" s="40"/>
      <c r="G530" s="41"/>
      <c r="H530" s="41"/>
    </row>
    <row r="531" spans="3:8">
      <c r="C531" s="22" t="s">
        <v>31</v>
      </c>
      <c r="D531" s="77" t="s">
        <v>139</v>
      </c>
      <c r="E531" s="22" t="s">
        <v>29</v>
      </c>
      <c r="F531" s="43">
        <v>1.5522783339423547</v>
      </c>
      <c r="G531" s="45">
        <v>264.0623143694084</v>
      </c>
      <c r="H531" s="44">
        <v>409.89820940630756</v>
      </c>
    </row>
    <row r="532" spans="3:8">
      <c r="C532" s="22" t="s">
        <v>31</v>
      </c>
      <c r="D532" s="77" t="s">
        <v>140</v>
      </c>
      <c r="E532" s="22" t="s">
        <v>29</v>
      </c>
      <c r="F532" s="43">
        <v>0.28884026258205692</v>
      </c>
      <c r="G532" s="45">
        <v>329.95867768595036</v>
      </c>
      <c r="H532" s="44">
        <v>95.305351104038181</v>
      </c>
    </row>
    <row r="533" spans="3:8">
      <c r="C533" s="22" t="s">
        <v>31</v>
      </c>
      <c r="D533" s="77" t="s">
        <v>114</v>
      </c>
      <c r="E533" s="22" t="s">
        <v>6</v>
      </c>
      <c r="F533" s="78">
        <v>0.48750000000000004</v>
      </c>
      <c r="G533" s="45">
        <v>145.87649712750212</v>
      </c>
      <c r="H533" s="44">
        <v>71.114792349657293</v>
      </c>
    </row>
    <row r="534" spans="3:8">
      <c r="C534" s="22" t="s">
        <v>31</v>
      </c>
      <c r="D534" s="58" t="s">
        <v>141</v>
      </c>
      <c r="E534" s="22" t="s">
        <v>106</v>
      </c>
      <c r="F534" s="23">
        <v>0.69118632707774796</v>
      </c>
      <c r="G534" s="45">
        <v>304.92424242424238</v>
      </c>
      <c r="H534" s="44">
        <v>210.7594671581769</v>
      </c>
    </row>
    <row r="535" spans="3:8">
      <c r="C535" s="22" t="s">
        <v>31</v>
      </c>
      <c r="D535" s="58" t="s">
        <v>142</v>
      </c>
      <c r="E535" s="22" t="s">
        <v>29</v>
      </c>
      <c r="F535" s="23">
        <v>0.35257540305779028</v>
      </c>
      <c r="G535" s="30">
        <v>349.82727272727271</v>
      </c>
      <c r="H535" s="44">
        <v>123.34049168242571</v>
      </c>
    </row>
    <row r="536" spans="3:8">
      <c r="C536" s="22" t="s">
        <v>31</v>
      </c>
      <c r="D536" s="58" t="s">
        <v>143</v>
      </c>
      <c r="E536" s="22" t="s">
        <v>29</v>
      </c>
      <c r="F536" s="23">
        <v>0.28884026258205692</v>
      </c>
      <c r="G536" s="45">
        <v>506.42566941826988</v>
      </c>
      <c r="H536" s="44">
        <v>146.27612333306703</v>
      </c>
    </row>
    <row r="537" spans="3:8">
      <c r="C537" s="22" t="s">
        <v>31</v>
      </c>
      <c r="D537" s="27" t="s">
        <v>144</v>
      </c>
      <c r="E537" s="22" t="s">
        <v>29</v>
      </c>
      <c r="F537" s="23">
        <v>0.28884026258205692</v>
      </c>
      <c r="G537" s="45">
        <v>506.42566941826988</v>
      </c>
      <c r="H537" s="44">
        <v>146.27612333306703</v>
      </c>
    </row>
    <row r="538" spans="3:8">
      <c r="C538" s="34" t="s">
        <v>18</v>
      </c>
      <c r="D538" s="34"/>
      <c r="E538" s="34"/>
      <c r="F538" s="35"/>
      <c r="G538" s="34"/>
      <c r="H538" s="36">
        <v>1202.9705583667396</v>
      </c>
    </row>
    <row r="539" spans="3:8">
      <c r="C539" s="37" t="s">
        <v>19</v>
      </c>
      <c r="D539" s="38" t="s">
        <v>20</v>
      </c>
      <c r="E539" s="39"/>
      <c r="F539" s="46"/>
      <c r="G539" s="47"/>
      <c r="H539" s="47">
        <v>0</v>
      </c>
    </row>
    <row r="540" spans="3:8">
      <c r="C540" s="28" t="s">
        <v>55</v>
      </c>
      <c r="D540" s="48" t="s">
        <v>145</v>
      </c>
      <c r="E540" s="81" t="s">
        <v>33</v>
      </c>
      <c r="F540" s="43">
        <v>0.65</v>
      </c>
      <c r="G540" s="29">
        <v>50</v>
      </c>
      <c r="H540" s="30">
        <v>32.5</v>
      </c>
    </row>
    <row r="541" spans="3:8">
      <c r="C541" s="28" t="s">
        <v>55</v>
      </c>
      <c r="D541" s="48" t="s">
        <v>146</v>
      </c>
      <c r="E541" s="81" t="s">
        <v>33</v>
      </c>
      <c r="F541" s="43">
        <v>1</v>
      </c>
      <c r="G541" s="29">
        <v>110</v>
      </c>
      <c r="H541" s="30">
        <v>110</v>
      </c>
    </row>
    <row r="542" spans="3:8">
      <c r="C542" s="28" t="s">
        <v>55</v>
      </c>
      <c r="D542" s="48" t="s">
        <v>147</v>
      </c>
      <c r="E542" s="28" t="s">
        <v>132</v>
      </c>
      <c r="F542" s="23">
        <v>15</v>
      </c>
      <c r="G542" s="33">
        <v>9.5</v>
      </c>
      <c r="H542" s="44">
        <v>142.5</v>
      </c>
    </row>
    <row r="543" spans="3:8">
      <c r="C543" s="28" t="s">
        <v>55</v>
      </c>
      <c r="D543" s="48" t="s">
        <v>148</v>
      </c>
      <c r="E543" s="28" t="s">
        <v>149</v>
      </c>
      <c r="F543" s="23">
        <v>2.2999999999999998</v>
      </c>
      <c r="G543" s="33">
        <v>90</v>
      </c>
      <c r="H543" s="44">
        <v>206.99999999999997</v>
      </c>
    </row>
    <row r="544" spans="3:8">
      <c r="C544" s="28" t="s">
        <v>55</v>
      </c>
      <c r="D544" s="48" t="s">
        <v>150</v>
      </c>
      <c r="E544" s="28" t="s">
        <v>6</v>
      </c>
      <c r="F544" s="23">
        <v>1</v>
      </c>
      <c r="G544" s="33">
        <v>153.37506452415499</v>
      </c>
      <c r="H544" s="44">
        <v>153.37506452415499</v>
      </c>
    </row>
    <row r="545" spans="3:8">
      <c r="C545" s="28" t="s">
        <v>55</v>
      </c>
      <c r="D545" s="48" t="s">
        <v>151</v>
      </c>
      <c r="E545" s="28" t="s">
        <v>6</v>
      </c>
      <c r="F545" s="23">
        <v>0.5</v>
      </c>
      <c r="G545" s="33">
        <v>219.92292225201072</v>
      </c>
      <c r="H545" s="44">
        <v>109.96146112600536</v>
      </c>
    </row>
    <row r="546" spans="3:8">
      <c r="C546" s="28"/>
      <c r="D546" s="48"/>
      <c r="E546" s="28"/>
      <c r="F546" s="23"/>
      <c r="G546" s="33">
        <v>0</v>
      </c>
      <c r="H546" s="44">
        <v>0</v>
      </c>
    </row>
    <row r="547" spans="3:8">
      <c r="C547" s="28"/>
      <c r="D547" s="48"/>
      <c r="E547" s="28"/>
      <c r="F547" s="23"/>
      <c r="G547" s="33">
        <v>0</v>
      </c>
      <c r="H547" s="44">
        <v>0</v>
      </c>
    </row>
    <row r="548" spans="3:8">
      <c r="C548" s="34" t="s">
        <v>21</v>
      </c>
      <c r="D548" s="34"/>
      <c r="E548" s="34"/>
      <c r="F548" s="35"/>
      <c r="G548" s="34"/>
      <c r="H548" s="36">
        <v>755.33652565016041</v>
      </c>
    </row>
    <row r="549" spans="3:8" ht="15.75">
      <c r="C549" s="49" t="s">
        <v>22</v>
      </c>
      <c r="D549" s="50"/>
      <c r="E549" s="50"/>
      <c r="F549" s="51"/>
      <c r="G549" s="52"/>
      <c r="H549" s="36">
        <v>4875.8370265669419</v>
      </c>
    </row>
    <row r="550" spans="3:8" ht="15.75">
      <c r="C550" s="49" t="s">
        <v>23</v>
      </c>
      <c r="D550" s="50"/>
      <c r="E550" s="50"/>
      <c r="F550" s="51"/>
      <c r="G550" s="52"/>
      <c r="H550" s="53">
        <v>1201.1694251087258</v>
      </c>
    </row>
    <row r="551" spans="3:8" ht="15.75">
      <c r="C551" s="49" t="s">
        <v>24</v>
      </c>
      <c r="D551" s="50"/>
      <c r="E551" s="50"/>
      <c r="F551" s="51"/>
      <c r="G551" s="52"/>
      <c r="H551" s="36">
        <v>6077.01</v>
      </c>
    </row>
    <row r="552" spans="3:8" ht="15.75">
      <c r="C552" s="84"/>
      <c r="D552" s="84"/>
      <c r="E552" s="84"/>
      <c r="F552" s="85"/>
      <c r="G552" s="84"/>
      <c r="H552" s="86"/>
    </row>
    <row r="553" spans="3:8">
      <c r="C553" s="5" t="s">
        <v>1</v>
      </c>
      <c r="D553" s="6" t="s">
        <v>152</v>
      </c>
      <c r="E553" s="6"/>
      <c r="F553" s="7"/>
      <c r="G553" s="8"/>
      <c r="H553" s="9"/>
    </row>
    <row r="554" spans="3:8">
      <c r="C554" s="10" t="s">
        <v>3</v>
      </c>
      <c r="D554" s="11" t="s">
        <v>153</v>
      </c>
      <c r="E554" s="12"/>
      <c r="F554" s="13" t="s">
        <v>5</v>
      </c>
      <c r="G554" s="14" t="s">
        <v>154</v>
      </c>
      <c r="H554" s="15">
        <v>36.659999999999997</v>
      </c>
    </row>
    <row r="555" spans="3:8">
      <c r="C555" s="16" t="s">
        <v>7</v>
      </c>
      <c r="D555" s="16" t="s">
        <v>8</v>
      </c>
      <c r="E555" s="16" t="s">
        <v>9</v>
      </c>
      <c r="F555" s="17" t="s">
        <v>10</v>
      </c>
      <c r="G555" s="18" t="s">
        <v>11</v>
      </c>
      <c r="H555" s="18" t="s">
        <v>12</v>
      </c>
    </row>
    <row r="556" spans="3:8">
      <c r="C556" s="16"/>
      <c r="D556" s="16"/>
      <c r="E556" s="16"/>
      <c r="F556" s="17"/>
      <c r="G556" s="19"/>
      <c r="H556" s="19"/>
    </row>
    <row r="557" spans="3:8">
      <c r="C557" s="20" t="s">
        <v>13</v>
      </c>
      <c r="D557" s="21" t="s">
        <v>14</v>
      </c>
      <c r="E557" s="22"/>
      <c r="F557" s="23"/>
      <c r="G557" s="24"/>
      <c r="H557" s="25"/>
    </row>
    <row r="558" spans="3:8">
      <c r="C558" s="22" t="s">
        <v>107</v>
      </c>
      <c r="D558" s="54" t="s">
        <v>155</v>
      </c>
      <c r="E558" s="22" t="s">
        <v>109</v>
      </c>
      <c r="F558" s="43">
        <v>0.14708571428571429</v>
      </c>
      <c r="G558" s="29">
        <v>110.33589096800485</v>
      </c>
      <c r="H558" s="30">
        <v>16.228833334379686</v>
      </c>
    </row>
    <row r="559" spans="3:8">
      <c r="C559" s="22" t="s">
        <v>27</v>
      </c>
      <c r="D559" s="48" t="s">
        <v>156</v>
      </c>
      <c r="E559" s="22" t="s">
        <v>109</v>
      </c>
      <c r="F559" s="43">
        <v>2.1759251734475699E-2</v>
      </c>
      <c r="G559" s="29">
        <v>45.411750977784656</v>
      </c>
      <c r="H559" s="30">
        <v>0.98812572122893927</v>
      </c>
    </row>
    <row r="560" spans="3:8">
      <c r="C560" s="22"/>
      <c r="D560" s="48"/>
      <c r="E560" s="81"/>
      <c r="F560" s="87"/>
      <c r="G560" s="29">
        <v>0</v>
      </c>
      <c r="H560" s="30">
        <v>0</v>
      </c>
    </row>
    <row r="561" spans="3:8">
      <c r="C561" s="22"/>
      <c r="D561" s="48"/>
      <c r="E561" s="81"/>
      <c r="F561" s="43"/>
      <c r="G561" s="29">
        <v>0</v>
      </c>
      <c r="H561" s="30">
        <v>0</v>
      </c>
    </row>
    <row r="562" spans="3:8">
      <c r="C562" s="22"/>
      <c r="D562" s="48"/>
      <c r="E562" s="22"/>
      <c r="F562" s="43"/>
      <c r="G562" s="29">
        <v>0</v>
      </c>
      <c r="H562" s="30">
        <v>0</v>
      </c>
    </row>
    <row r="563" spans="3:8">
      <c r="C563" s="22"/>
      <c r="D563" s="48"/>
      <c r="E563" s="22"/>
      <c r="F563" s="43"/>
      <c r="G563" s="29">
        <v>0</v>
      </c>
      <c r="H563" s="30">
        <v>0</v>
      </c>
    </row>
    <row r="564" spans="3:8">
      <c r="C564" s="26"/>
      <c r="D564" s="48"/>
      <c r="E564" s="22"/>
      <c r="F564" s="57"/>
      <c r="G564" s="29">
        <v>0</v>
      </c>
      <c r="H564" s="30">
        <v>0</v>
      </c>
    </row>
    <row r="565" spans="3:8">
      <c r="C565" s="34" t="s">
        <v>15</v>
      </c>
      <c r="D565" s="34"/>
      <c r="E565" s="34"/>
      <c r="F565" s="35"/>
      <c r="G565" s="34"/>
      <c r="H565" s="36">
        <v>17.216959055608626</v>
      </c>
    </row>
    <row r="566" spans="3:8">
      <c r="C566" s="37" t="s">
        <v>16</v>
      </c>
      <c r="D566" s="38" t="s">
        <v>17</v>
      </c>
      <c r="E566" s="39"/>
      <c r="F566" s="40"/>
      <c r="G566" s="41"/>
      <c r="H566" s="41"/>
    </row>
    <row r="567" spans="3:8">
      <c r="C567" s="22" t="s">
        <v>157</v>
      </c>
      <c r="D567" s="77" t="s">
        <v>158</v>
      </c>
      <c r="E567" s="22" t="s">
        <v>33</v>
      </c>
      <c r="F567" s="43">
        <v>1</v>
      </c>
      <c r="G567" s="45">
        <v>1.25</v>
      </c>
      <c r="H567" s="44">
        <v>1.25</v>
      </c>
    </row>
    <row r="568" spans="3:8">
      <c r="C568" s="22" t="s">
        <v>157</v>
      </c>
      <c r="D568" s="77" t="s">
        <v>159</v>
      </c>
      <c r="E568" s="88" t="s">
        <v>33</v>
      </c>
      <c r="F568" s="43">
        <v>1</v>
      </c>
      <c r="G568" s="45">
        <v>3.99</v>
      </c>
      <c r="H568" s="44">
        <v>3.99</v>
      </c>
    </row>
    <row r="569" spans="3:8">
      <c r="C569" s="22" t="s">
        <v>31</v>
      </c>
      <c r="D569" s="77" t="s">
        <v>114</v>
      </c>
      <c r="E569" s="22" t="s">
        <v>6</v>
      </c>
      <c r="F569" s="78">
        <v>0.48750000000000004</v>
      </c>
      <c r="G569" s="45">
        <v>1.7216959055608627</v>
      </c>
      <c r="H569" s="44">
        <v>0.8393267539609206</v>
      </c>
    </row>
    <row r="570" spans="3:8">
      <c r="C570" s="22" t="s">
        <v>31</v>
      </c>
      <c r="D570" s="77" t="s">
        <v>139</v>
      </c>
      <c r="E570" s="22" t="s">
        <v>109</v>
      </c>
      <c r="F570" s="43">
        <v>2.3168945417462186E-2</v>
      </c>
      <c r="G570" s="45">
        <v>264.0623143694084</v>
      </c>
      <c r="H570" s="44">
        <v>6.1180453484335642</v>
      </c>
    </row>
    <row r="571" spans="3:8">
      <c r="C571" s="22"/>
      <c r="D571" s="58"/>
      <c r="E571" s="22"/>
      <c r="F571" s="23"/>
      <c r="G571" s="45">
        <v>0</v>
      </c>
      <c r="H571" s="44">
        <v>0</v>
      </c>
    </row>
    <row r="572" spans="3:8">
      <c r="C572" s="22"/>
      <c r="D572" s="58"/>
      <c r="E572" s="22"/>
      <c r="F572" s="23"/>
      <c r="G572" s="30">
        <v>0</v>
      </c>
      <c r="H572" s="44">
        <v>0</v>
      </c>
    </row>
    <row r="573" spans="3:8">
      <c r="C573" s="22"/>
      <c r="D573" s="58"/>
      <c r="E573" s="22"/>
      <c r="F573" s="23"/>
      <c r="G573" s="45">
        <v>0</v>
      </c>
      <c r="H573" s="44">
        <v>0</v>
      </c>
    </row>
    <row r="574" spans="3:8">
      <c r="C574" s="22"/>
      <c r="D574" s="27"/>
      <c r="E574" s="22"/>
      <c r="F574" s="32"/>
      <c r="G574" s="30">
        <v>0</v>
      </c>
      <c r="H574" s="44">
        <v>0</v>
      </c>
    </row>
    <row r="575" spans="3:8">
      <c r="C575" s="34" t="s">
        <v>18</v>
      </c>
      <c r="D575" s="34"/>
      <c r="E575" s="34"/>
      <c r="F575" s="35"/>
      <c r="G575" s="34"/>
      <c r="H575" s="36">
        <v>12.197372102394485</v>
      </c>
    </row>
    <row r="576" spans="3:8">
      <c r="C576" s="37" t="s">
        <v>19</v>
      </c>
      <c r="D576" s="38" t="s">
        <v>20</v>
      </c>
      <c r="E576" s="39"/>
      <c r="F576" s="46"/>
      <c r="G576" s="47"/>
      <c r="H576" s="47">
        <v>0</v>
      </c>
    </row>
    <row r="577" spans="3:8">
      <c r="C577" s="28"/>
      <c r="D577" s="48"/>
      <c r="E577" s="81"/>
      <c r="F577" s="43"/>
      <c r="G577" s="45">
        <v>0</v>
      </c>
      <c r="H577" s="30">
        <v>0</v>
      </c>
    </row>
    <row r="578" spans="3:8">
      <c r="C578" s="28"/>
      <c r="D578" s="48"/>
      <c r="E578" s="81"/>
      <c r="F578" s="43"/>
      <c r="G578" s="45">
        <v>0</v>
      </c>
      <c r="H578" s="30">
        <v>0</v>
      </c>
    </row>
    <row r="579" spans="3:8">
      <c r="C579" s="28"/>
      <c r="D579" s="48"/>
      <c r="E579" s="28"/>
      <c r="F579" s="23"/>
      <c r="G579" s="45">
        <v>0</v>
      </c>
      <c r="H579" s="44">
        <v>0</v>
      </c>
    </row>
    <row r="580" spans="3:8">
      <c r="C580" s="28"/>
      <c r="D580" s="48"/>
      <c r="E580" s="28"/>
      <c r="F580" s="23"/>
      <c r="G580" s="45">
        <v>0</v>
      </c>
      <c r="H580" s="44">
        <v>0</v>
      </c>
    </row>
    <row r="581" spans="3:8">
      <c r="C581" s="28"/>
      <c r="D581" s="48"/>
      <c r="E581" s="28"/>
      <c r="F581" s="23"/>
      <c r="G581" s="45">
        <v>0</v>
      </c>
      <c r="H581" s="44">
        <v>0</v>
      </c>
    </row>
    <row r="582" spans="3:8">
      <c r="C582" s="28"/>
      <c r="D582" s="48"/>
      <c r="E582" s="28"/>
      <c r="F582" s="23"/>
      <c r="G582" s="45">
        <v>0</v>
      </c>
      <c r="H582" s="44">
        <v>0</v>
      </c>
    </row>
    <row r="583" spans="3:8">
      <c r="C583" s="28"/>
      <c r="D583" s="48"/>
      <c r="E583" s="28"/>
      <c r="F583" s="23"/>
      <c r="G583" s="33">
        <v>0</v>
      </c>
      <c r="H583" s="44">
        <v>0</v>
      </c>
    </row>
    <row r="584" spans="3:8">
      <c r="C584" s="28"/>
      <c r="D584" s="48"/>
      <c r="E584" s="28"/>
      <c r="F584" s="23"/>
      <c r="G584" s="33">
        <v>0</v>
      </c>
      <c r="H584" s="44">
        <v>0</v>
      </c>
    </row>
    <row r="585" spans="3:8">
      <c r="C585" s="34" t="s">
        <v>21</v>
      </c>
      <c r="D585" s="34"/>
      <c r="E585" s="34"/>
      <c r="F585" s="35"/>
      <c r="G585" s="34"/>
      <c r="H585" s="36">
        <v>0</v>
      </c>
    </row>
    <row r="586" spans="3:8" ht="15.75">
      <c r="C586" s="49" t="s">
        <v>22</v>
      </c>
      <c r="D586" s="50"/>
      <c r="E586" s="50"/>
      <c r="F586" s="51"/>
      <c r="G586" s="52"/>
      <c r="H586" s="36">
        <v>29.414331158003112</v>
      </c>
    </row>
    <row r="587" spans="3:8" ht="15.75">
      <c r="C587" s="49" t="s">
        <v>23</v>
      </c>
      <c r="D587" s="50"/>
      <c r="E587" s="50"/>
      <c r="F587" s="51"/>
      <c r="G587" s="52"/>
      <c r="H587" s="53">
        <v>7.2462625503078222</v>
      </c>
    </row>
    <row r="588" spans="3:8" ht="15.75">
      <c r="C588" s="49" t="s">
        <v>24</v>
      </c>
      <c r="D588" s="50"/>
      <c r="E588" s="50"/>
      <c r="F588" s="51"/>
      <c r="G588" s="52"/>
      <c r="H588" s="36">
        <v>36.659999999999997</v>
      </c>
    </row>
    <row r="589" spans="3:8" ht="15.75">
      <c r="C589" s="84"/>
      <c r="D589" s="84"/>
      <c r="E589" s="84"/>
      <c r="F589" s="85"/>
      <c r="G589" s="84"/>
      <c r="H589" s="86"/>
    </row>
    <row r="590" spans="3:8" ht="72.75" customHeight="1">
      <c r="C590" s="5" t="s">
        <v>1</v>
      </c>
      <c r="D590" s="6" t="s">
        <v>160</v>
      </c>
      <c r="E590" s="6"/>
      <c r="F590" s="7"/>
      <c r="G590" s="8"/>
      <c r="H590" s="9"/>
    </row>
    <row r="591" spans="3:8">
      <c r="C591" s="10" t="s">
        <v>3</v>
      </c>
      <c r="D591" s="11" t="s">
        <v>161</v>
      </c>
      <c r="E591" s="12"/>
      <c r="F591" s="13" t="s">
        <v>5</v>
      </c>
      <c r="G591" s="14" t="s">
        <v>106</v>
      </c>
      <c r="H591" s="15">
        <v>6549.93</v>
      </c>
    </row>
    <row r="592" spans="3:8">
      <c r="C592" s="16" t="s">
        <v>7</v>
      </c>
      <c r="D592" s="16" t="s">
        <v>8</v>
      </c>
      <c r="E592" s="16" t="s">
        <v>9</v>
      </c>
      <c r="F592" s="17" t="s">
        <v>10</v>
      </c>
      <c r="G592" s="18" t="s">
        <v>11</v>
      </c>
      <c r="H592" s="18" t="s">
        <v>12</v>
      </c>
    </row>
    <row r="593" spans="3:8">
      <c r="C593" s="16"/>
      <c r="D593" s="16"/>
      <c r="E593" s="16"/>
      <c r="F593" s="17"/>
      <c r="G593" s="19"/>
      <c r="H593" s="19"/>
    </row>
    <row r="594" spans="3:8">
      <c r="C594" s="20" t="s">
        <v>13</v>
      </c>
      <c r="D594" s="21" t="s">
        <v>14</v>
      </c>
      <c r="E594" s="22"/>
      <c r="F594" s="23"/>
      <c r="G594" s="24"/>
      <c r="H594" s="25"/>
    </row>
    <row r="595" spans="3:8">
      <c r="C595" s="22" t="s">
        <v>27</v>
      </c>
      <c r="D595" s="54" t="s">
        <v>136</v>
      </c>
      <c r="E595" s="22" t="s">
        <v>109</v>
      </c>
      <c r="F595" s="43">
        <v>10.216876859741699</v>
      </c>
      <c r="G595" s="29">
        <v>90.031958516899593</v>
      </c>
      <c r="H595" s="30">
        <v>919.84543360853604</v>
      </c>
    </row>
    <row r="596" spans="3:8">
      <c r="C596" s="22" t="s">
        <v>27</v>
      </c>
      <c r="D596" s="48" t="s">
        <v>28</v>
      </c>
      <c r="E596" s="22" t="s">
        <v>109</v>
      </c>
      <c r="F596" s="43">
        <v>8.6639814990290294</v>
      </c>
      <c r="G596" s="29">
        <v>79.456006436582371</v>
      </c>
      <c r="H596" s="30">
        <v>688.40536975328109</v>
      </c>
    </row>
    <row r="597" spans="3:8">
      <c r="C597" s="22" t="s">
        <v>27</v>
      </c>
      <c r="D597" s="48" t="s">
        <v>137</v>
      </c>
      <c r="E597" s="81" t="s">
        <v>109</v>
      </c>
      <c r="F597" s="87">
        <v>3.4121987106697298</v>
      </c>
      <c r="G597" s="29">
        <v>89.242314887296516</v>
      </c>
      <c r="H597" s="30">
        <v>304.51251179561518</v>
      </c>
    </row>
    <row r="598" spans="3:8">
      <c r="C598" s="22" t="s">
        <v>27</v>
      </c>
      <c r="D598" s="48" t="s">
        <v>30</v>
      </c>
      <c r="E598" s="81" t="s">
        <v>109</v>
      </c>
      <c r="F598" s="43">
        <v>9.2260602698387899</v>
      </c>
      <c r="G598" s="29">
        <v>45.411750977784656</v>
      </c>
      <c r="H598" s="30">
        <v>418.97155147995181</v>
      </c>
    </row>
    <row r="599" spans="3:8">
      <c r="C599" s="22" t="s">
        <v>27</v>
      </c>
      <c r="D599" s="48" t="s">
        <v>138</v>
      </c>
      <c r="E599" s="22" t="s">
        <v>109</v>
      </c>
      <c r="F599" s="43">
        <v>7.0583943147396901</v>
      </c>
      <c r="G599" s="29">
        <v>74.717676591289091</v>
      </c>
      <c r="H599" s="30">
        <v>527.38682366251373</v>
      </c>
    </row>
    <row r="600" spans="3:8">
      <c r="C600" s="22" t="s">
        <v>27</v>
      </c>
      <c r="D600" s="48" t="s">
        <v>111</v>
      </c>
      <c r="E600" s="22" t="s">
        <v>109</v>
      </c>
      <c r="F600" s="43">
        <v>1.1224708356253501</v>
      </c>
      <c r="G600" s="29">
        <v>52.035429693461786</v>
      </c>
      <c r="H600" s="30">
        <v>58.408252250144209</v>
      </c>
    </row>
    <row r="601" spans="3:8">
      <c r="C601" s="26" t="s">
        <v>67</v>
      </c>
      <c r="D601" s="48" t="s">
        <v>76</v>
      </c>
      <c r="E601" s="22" t="s">
        <v>109</v>
      </c>
      <c r="F601" s="57">
        <v>2.5003611846857692</v>
      </c>
      <c r="G601" s="29">
        <v>80.922620787121161</v>
      </c>
      <c r="H601" s="30">
        <v>202.3357799791635</v>
      </c>
    </row>
    <row r="602" spans="3:8">
      <c r="C602" s="34" t="s">
        <v>15</v>
      </c>
      <c r="D602" s="34"/>
      <c r="E602" s="34"/>
      <c r="F602" s="35"/>
      <c r="G602" s="34"/>
      <c r="H602" s="36">
        <v>3119.8657225292054</v>
      </c>
    </row>
    <row r="603" spans="3:8">
      <c r="C603" s="37" t="s">
        <v>16</v>
      </c>
      <c r="D603" s="38" t="s">
        <v>17</v>
      </c>
      <c r="E603" s="39"/>
      <c r="F603" s="40"/>
      <c r="G603" s="41"/>
      <c r="H603" s="41"/>
    </row>
    <row r="604" spans="3:8">
      <c r="C604" s="22" t="s">
        <v>31</v>
      </c>
      <c r="D604" s="77" t="s">
        <v>139</v>
      </c>
      <c r="E604" s="22" t="s">
        <v>109</v>
      </c>
      <c r="F604" s="43">
        <v>1.4251413245515516</v>
      </c>
      <c r="G604" s="45">
        <v>264.0623143694084</v>
      </c>
      <c r="H604" s="44">
        <v>376.32611646456689</v>
      </c>
    </row>
    <row r="605" spans="3:8">
      <c r="C605" s="22" t="s">
        <v>31</v>
      </c>
      <c r="D605" s="77" t="s">
        <v>140</v>
      </c>
      <c r="E605" s="22" t="s">
        <v>29</v>
      </c>
      <c r="F605" s="43">
        <v>0.28884026258205692</v>
      </c>
      <c r="G605" s="45">
        <v>329.95867768595036</v>
      </c>
      <c r="H605" s="44">
        <v>95.305351104038181</v>
      </c>
    </row>
    <row r="606" spans="3:8">
      <c r="C606" s="22" t="s">
        <v>31</v>
      </c>
      <c r="D606" s="77" t="s">
        <v>114</v>
      </c>
      <c r="E606" s="22" t="s">
        <v>6</v>
      </c>
      <c r="F606" s="78">
        <v>0.48750000000000004</v>
      </c>
      <c r="G606" s="45">
        <v>155.99328612646028</v>
      </c>
      <c r="H606" s="44">
        <v>76.046726986649389</v>
      </c>
    </row>
    <row r="607" spans="3:8">
      <c r="C607" s="22" t="s">
        <v>31</v>
      </c>
      <c r="D607" s="58" t="s">
        <v>143</v>
      </c>
      <c r="E607" s="22" t="s">
        <v>29</v>
      </c>
      <c r="F607" s="23">
        <v>0.28884026258205692</v>
      </c>
      <c r="G607" s="45">
        <v>506.42566941826988</v>
      </c>
      <c r="H607" s="44">
        <v>146.27612333306703</v>
      </c>
    </row>
    <row r="608" spans="3:8">
      <c r="C608" s="22" t="s">
        <v>31</v>
      </c>
      <c r="D608" s="27" t="s">
        <v>144</v>
      </c>
      <c r="E608" s="22" t="s">
        <v>29</v>
      </c>
      <c r="F608" s="23">
        <v>0.28884026258205692</v>
      </c>
      <c r="G608" s="45">
        <v>506.42566941826988</v>
      </c>
      <c r="H608" s="44">
        <v>146.27612333306703</v>
      </c>
    </row>
    <row r="609" spans="3:8">
      <c r="C609" s="22" t="s">
        <v>31</v>
      </c>
      <c r="D609" s="27" t="s">
        <v>162</v>
      </c>
      <c r="E609" s="22" t="s">
        <v>29</v>
      </c>
      <c r="F609" s="32">
        <v>6.3568504695400915E-2</v>
      </c>
      <c r="G609" s="30">
        <v>1661.5904499540861</v>
      </c>
      <c r="H609" s="44">
        <v>105.62482031973964</v>
      </c>
    </row>
    <row r="610" spans="3:8">
      <c r="C610" s="22" t="s">
        <v>31</v>
      </c>
      <c r="D610" s="89" t="s">
        <v>163</v>
      </c>
      <c r="E610" s="90" t="s">
        <v>6</v>
      </c>
      <c r="F610" s="57">
        <v>1</v>
      </c>
      <c r="G610" s="91">
        <v>544.18492655911393</v>
      </c>
      <c r="H610" s="44">
        <v>544.18492655911393</v>
      </c>
    </row>
    <row r="611" spans="3:8">
      <c r="C611" s="34" t="s">
        <v>18</v>
      </c>
      <c r="D611" s="34"/>
      <c r="E611" s="34"/>
      <c r="F611" s="35"/>
      <c r="G611" s="34"/>
      <c r="H611" s="36">
        <v>1490.0401881002422</v>
      </c>
    </row>
    <row r="612" spans="3:8">
      <c r="C612" s="37" t="s">
        <v>19</v>
      </c>
      <c r="D612" s="38" t="s">
        <v>20</v>
      </c>
      <c r="E612" s="39"/>
      <c r="F612" s="46"/>
      <c r="G612" s="47"/>
      <c r="H612" s="47">
        <v>0</v>
      </c>
    </row>
    <row r="613" spans="3:8">
      <c r="C613" s="28" t="s">
        <v>55</v>
      </c>
      <c r="D613" s="48" t="s">
        <v>145</v>
      </c>
      <c r="E613" s="81" t="s">
        <v>33</v>
      </c>
      <c r="F613" s="43">
        <v>0.65</v>
      </c>
      <c r="G613" s="29">
        <v>50</v>
      </c>
      <c r="H613" s="30">
        <v>32.5</v>
      </c>
    </row>
    <row r="614" spans="3:8">
      <c r="C614" s="28" t="s">
        <v>55</v>
      </c>
      <c r="D614" s="48" t="s">
        <v>146</v>
      </c>
      <c r="E614" s="81" t="s">
        <v>33</v>
      </c>
      <c r="F614" s="43">
        <v>1</v>
      </c>
      <c r="G614" s="29">
        <v>110</v>
      </c>
      <c r="H614" s="30">
        <v>110</v>
      </c>
    </row>
    <row r="615" spans="3:8">
      <c r="C615" s="28" t="s">
        <v>55</v>
      </c>
      <c r="D615" s="48" t="s">
        <v>147</v>
      </c>
      <c r="E615" s="28" t="s">
        <v>132</v>
      </c>
      <c r="F615" s="23">
        <v>15</v>
      </c>
      <c r="G615" s="33">
        <v>9.5</v>
      </c>
      <c r="H615" s="30">
        <v>142.5</v>
      </c>
    </row>
    <row r="616" spans="3:8">
      <c r="C616" s="28" t="s">
        <v>55</v>
      </c>
      <c r="D616" s="48" t="s">
        <v>148</v>
      </c>
      <c r="E616" s="28" t="s">
        <v>149</v>
      </c>
      <c r="F616" s="23">
        <v>2.2999999999999998</v>
      </c>
      <c r="G616" s="33">
        <v>90</v>
      </c>
      <c r="H616" s="44">
        <v>206.99999999999997</v>
      </c>
    </row>
    <row r="617" spans="3:8">
      <c r="C617" s="28" t="s">
        <v>55</v>
      </c>
      <c r="D617" s="48" t="s">
        <v>150</v>
      </c>
      <c r="E617" s="28" t="s">
        <v>6</v>
      </c>
      <c r="F617" s="23">
        <v>1</v>
      </c>
      <c r="G617" s="33">
        <v>153.37506452415499</v>
      </c>
      <c r="H617" s="44">
        <v>153.37506452415499</v>
      </c>
    </row>
    <row r="618" spans="3:8">
      <c r="C618" s="28"/>
      <c r="D618" s="48"/>
      <c r="E618" s="28"/>
      <c r="F618" s="23"/>
      <c r="G618" s="33">
        <v>0</v>
      </c>
      <c r="H618" s="44">
        <v>0</v>
      </c>
    </row>
    <row r="619" spans="3:8">
      <c r="C619" s="28"/>
      <c r="D619" s="48"/>
      <c r="E619" s="28"/>
      <c r="F619" s="23"/>
      <c r="G619" s="33">
        <v>0</v>
      </c>
      <c r="H619" s="44">
        <v>0</v>
      </c>
    </row>
    <row r="620" spans="3:8">
      <c r="C620" s="28"/>
      <c r="D620" s="48"/>
      <c r="E620" s="28"/>
      <c r="F620" s="23"/>
      <c r="G620" s="33">
        <v>0</v>
      </c>
      <c r="H620" s="44">
        <v>0</v>
      </c>
    </row>
    <row r="621" spans="3:8">
      <c r="C621" s="34" t="s">
        <v>21</v>
      </c>
      <c r="D621" s="34"/>
      <c r="E621" s="34"/>
      <c r="F621" s="35"/>
      <c r="G621" s="34"/>
      <c r="H621" s="36">
        <v>645.37506452415505</v>
      </c>
    </row>
    <row r="622" spans="3:8" ht="15.75">
      <c r="C622" s="49" t="s">
        <v>22</v>
      </c>
      <c r="D622" s="50"/>
      <c r="E622" s="50"/>
      <c r="F622" s="51"/>
      <c r="G622" s="52"/>
      <c r="H622" s="36">
        <v>5255.2809751536024</v>
      </c>
    </row>
    <row r="623" spans="3:8" ht="15.75">
      <c r="C623" s="49" t="s">
        <v>23</v>
      </c>
      <c r="D623" s="50"/>
      <c r="E623" s="50"/>
      <c r="F623" s="51"/>
      <c r="G623" s="52"/>
      <c r="H623" s="53">
        <v>1294.6459845387144</v>
      </c>
    </row>
    <row r="624" spans="3:8" ht="15.75">
      <c r="C624" s="49" t="s">
        <v>24</v>
      </c>
      <c r="D624" s="50"/>
      <c r="E624" s="50"/>
      <c r="F624" s="51"/>
      <c r="G624" s="52"/>
      <c r="H624" s="36">
        <v>6549.93</v>
      </c>
    </row>
    <row r="625" spans="3:8" ht="15.75">
      <c r="C625" s="84"/>
      <c r="D625" s="84"/>
      <c r="E625" s="84"/>
      <c r="F625" s="85"/>
      <c r="G625" s="84"/>
      <c r="H625" s="86"/>
    </row>
    <row r="626" spans="3:8" ht="45">
      <c r="C626" s="5" t="s">
        <v>1</v>
      </c>
      <c r="D626" s="6" t="s">
        <v>164</v>
      </c>
      <c r="E626" s="6"/>
      <c r="F626" s="7"/>
      <c r="G626" s="8"/>
      <c r="H626" s="9"/>
    </row>
    <row r="627" spans="3:8">
      <c r="C627" s="10" t="s">
        <v>3</v>
      </c>
      <c r="D627" s="11" t="s">
        <v>165</v>
      </c>
      <c r="E627" s="12"/>
      <c r="F627" s="13" t="s">
        <v>5</v>
      </c>
      <c r="G627" s="14" t="s">
        <v>106</v>
      </c>
      <c r="H627" s="15">
        <v>2857.37</v>
      </c>
    </row>
    <row r="628" spans="3:8">
      <c r="C628" s="16" t="s">
        <v>7</v>
      </c>
      <c r="D628" s="16" t="s">
        <v>8</v>
      </c>
      <c r="E628" s="16" t="s">
        <v>9</v>
      </c>
      <c r="F628" s="17" t="s">
        <v>10</v>
      </c>
      <c r="G628" s="18" t="s">
        <v>11</v>
      </c>
      <c r="H628" s="18" t="s">
        <v>12</v>
      </c>
    </row>
    <row r="629" spans="3:8">
      <c r="C629" s="16"/>
      <c r="D629" s="16"/>
      <c r="E629" s="16"/>
      <c r="F629" s="17"/>
      <c r="G629" s="19"/>
      <c r="H629" s="19"/>
    </row>
    <row r="630" spans="3:8">
      <c r="C630" s="20" t="s">
        <v>13</v>
      </c>
      <c r="D630" s="21" t="s">
        <v>14</v>
      </c>
      <c r="E630" s="22"/>
      <c r="F630" s="23"/>
      <c r="G630" s="24"/>
      <c r="H630" s="25"/>
    </row>
    <row r="631" spans="3:8">
      <c r="C631" s="22" t="s">
        <v>27</v>
      </c>
      <c r="D631" s="54" t="s">
        <v>136</v>
      </c>
      <c r="E631" s="22" t="s">
        <v>109</v>
      </c>
      <c r="F631" s="43">
        <v>3.4056256199138901</v>
      </c>
      <c r="G631" s="29">
        <v>90.031958516899593</v>
      </c>
      <c r="H631" s="30">
        <v>306.61514453617781</v>
      </c>
    </row>
    <row r="632" spans="3:8">
      <c r="C632" s="22" t="s">
        <v>27</v>
      </c>
      <c r="D632" s="48" t="s">
        <v>28</v>
      </c>
      <c r="E632" s="22" t="s">
        <v>109</v>
      </c>
      <c r="F632" s="43">
        <v>2.8879938330096802</v>
      </c>
      <c r="G632" s="29">
        <v>79.456006436582371</v>
      </c>
      <c r="H632" s="30">
        <v>229.46845658442734</v>
      </c>
    </row>
    <row r="633" spans="3:8">
      <c r="C633" s="22" t="s">
        <v>27</v>
      </c>
      <c r="D633" s="48" t="s">
        <v>137</v>
      </c>
      <c r="E633" s="81" t="s">
        <v>109</v>
      </c>
      <c r="F633" s="87">
        <v>1.13739957022324</v>
      </c>
      <c r="G633" s="29">
        <v>89.242314887296516</v>
      </c>
      <c r="H633" s="30">
        <v>101.50417059853811</v>
      </c>
    </row>
    <row r="634" spans="3:8">
      <c r="C634" s="22" t="s">
        <v>27</v>
      </c>
      <c r="D634" s="48" t="s">
        <v>30</v>
      </c>
      <c r="E634" s="81" t="s">
        <v>109</v>
      </c>
      <c r="F634" s="43">
        <v>3.0753534232795801</v>
      </c>
      <c r="G634" s="29">
        <v>45.411750977784656</v>
      </c>
      <c r="H634" s="30">
        <v>139.65718382664986</v>
      </c>
    </row>
    <row r="635" spans="3:8">
      <c r="C635" s="22" t="s">
        <v>27</v>
      </c>
      <c r="D635" s="48" t="s">
        <v>138</v>
      </c>
      <c r="E635" s="22" t="s">
        <v>109</v>
      </c>
      <c r="F635" s="43">
        <v>2.35279810491323</v>
      </c>
      <c r="G635" s="29">
        <v>74.717676591289091</v>
      </c>
      <c r="H635" s="30">
        <v>175.79560788750459</v>
      </c>
    </row>
    <row r="636" spans="3:8">
      <c r="C636" s="22" t="s">
        <v>27</v>
      </c>
      <c r="D636" s="48" t="s">
        <v>111</v>
      </c>
      <c r="E636" s="22" t="s">
        <v>109</v>
      </c>
      <c r="F636" s="43">
        <v>0.374156945208449</v>
      </c>
      <c r="G636" s="29">
        <v>52.035429693461786</v>
      </c>
      <c r="H636" s="30">
        <v>19.469417416714681</v>
      </c>
    </row>
    <row r="637" spans="3:8">
      <c r="C637" s="59" t="s">
        <v>67</v>
      </c>
      <c r="D637" s="60" t="s">
        <v>89</v>
      </c>
      <c r="E637" s="59" t="s">
        <v>57</v>
      </c>
      <c r="F637" s="61">
        <v>6.3636363636363638E-3</v>
      </c>
      <c r="G637" s="62">
        <v>10243.331301613183</v>
      </c>
      <c r="H637" s="63">
        <v>65.184835555720255</v>
      </c>
    </row>
    <row r="638" spans="3:8">
      <c r="C638" s="59" t="s">
        <v>67</v>
      </c>
      <c r="D638" s="60" t="s">
        <v>166</v>
      </c>
      <c r="E638" s="59" t="s">
        <v>57</v>
      </c>
      <c r="F638" s="61">
        <v>6.3636363636363638E-3</v>
      </c>
      <c r="G638" s="62">
        <v>6735.9354066092055</v>
      </c>
      <c r="H638" s="63">
        <v>42.865043496604038</v>
      </c>
    </row>
    <row r="639" spans="3:8">
      <c r="C639" s="34" t="s">
        <v>15</v>
      </c>
      <c r="D639" s="34"/>
      <c r="E639" s="34"/>
      <c r="F639" s="35"/>
      <c r="G639" s="34"/>
      <c r="H639" s="36">
        <v>1080.5598599023369</v>
      </c>
    </row>
    <row r="640" spans="3:8">
      <c r="C640" s="37" t="s">
        <v>16</v>
      </c>
      <c r="D640" s="38" t="s">
        <v>17</v>
      </c>
      <c r="E640" s="39"/>
      <c r="F640" s="40"/>
      <c r="G640" s="41"/>
      <c r="H640" s="41"/>
    </row>
    <row r="641" spans="3:8">
      <c r="C641" s="22" t="s">
        <v>31</v>
      </c>
      <c r="D641" s="77" t="s">
        <v>139</v>
      </c>
      <c r="E641" s="22" t="s">
        <v>109</v>
      </c>
      <c r="F641" s="43">
        <v>0.51742611131411709</v>
      </c>
      <c r="G641" s="45">
        <v>264.0623143694084</v>
      </c>
      <c r="H641" s="44">
        <v>136.63273646876888</v>
      </c>
    </row>
    <row r="642" spans="3:8">
      <c r="C642" s="22" t="s">
        <v>31</v>
      </c>
      <c r="D642" s="77" t="s">
        <v>140</v>
      </c>
      <c r="E642" s="22" t="s">
        <v>29</v>
      </c>
      <c r="F642" s="43">
        <v>0.28884026258205692</v>
      </c>
      <c r="G642" s="45">
        <v>329.95867768595036</v>
      </c>
      <c r="H642" s="44">
        <v>95.305351104038181</v>
      </c>
    </row>
    <row r="643" spans="3:8">
      <c r="C643" s="22" t="s">
        <v>31</v>
      </c>
      <c r="D643" s="77" t="s">
        <v>114</v>
      </c>
      <c r="E643" s="22" t="s">
        <v>6</v>
      </c>
      <c r="F643" s="78">
        <v>0.48750000000000004</v>
      </c>
      <c r="G643" s="45">
        <v>54.027992995116847</v>
      </c>
      <c r="H643" s="44">
        <v>26.338646585119466</v>
      </c>
    </row>
    <row r="644" spans="3:8">
      <c r="C644" s="59" t="s">
        <v>31</v>
      </c>
      <c r="D644" s="67" t="s">
        <v>142</v>
      </c>
      <c r="E644" s="59" t="s">
        <v>29</v>
      </c>
      <c r="F644" s="68">
        <v>0.48365268117567872</v>
      </c>
      <c r="G644" s="63">
        <v>349.82727272727271</v>
      </c>
      <c r="H644" s="69">
        <v>169.19489840292084</v>
      </c>
    </row>
    <row r="645" spans="3:8">
      <c r="C645" s="22" t="s">
        <v>31</v>
      </c>
      <c r="D645" s="58" t="s">
        <v>143</v>
      </c>
      <c r="E645" s="22" t="s">
        <v>29</v>
      </c>
      <c r="F645" s="23">
        <v>0.28884026258205692</v>
      </c>
      <c r="G645" s="45">
        <v>506.42566941826988</v>
      </c>
      <c r="H645" s="44">
        <v>146.27612333306703</v>
      </c>
    </row>
    <row r="646" spans="3:8">
      <c r="C646" s="22" t="s">
        <v>31</v>
      </c>
      <c r="D646" s="27" t="s">
        <v>144</v>
      </c>
      <c r="E646" s="22" t="s">
        <v>29</v>
      </c>
      <c r="F646" s="23">
        <v>0.28884026258205692</v>
      </c>
      <c r="G646" s="45">
        <v>506.42566941826988</v>
      </c>
      <c r="H646" s="44">
        <v>146.27612333306703</v>
      </c>
    </row>
    <row r="647" spans="3:8">
      <c r="C647" s="22"/>
      <c r="D647" s="27"/>
      <c r="E647" s="22"/>
      <c r="F647" s="32"/>
      <c r="G647" s="30">
        <v>0</v>
      </c>
      <c r="H647" s="44">
        <v>0</v>
      </c>
    </row>
    <row r="648" spans="3:8">
      <c r="C648" s="34" t="s">
        <v>18</v>
      </c>
      <c r="D648" s="34"/>
      <c r="E648" s="34"/>
      <c r="F648" s="35"/>
      <c r="G648" s="34"/>
      <c r="H648" s="36">
        <v>720.02387922698142</v>
      </c>
    </row>
    <row r="649" spans="3:8">
      <c r="C649" s="37" t="s">
        <v>19</v>
      </c>
      <c r="D649" s="38" t="s">
        <v>20</v>
      </c>
      <c r="E649" s="39"/>
      <c r="F649" s="46"/>
      <c r="G649" s="47"/>
      <c r="H649" s="47">
        <v>0</v>
      </c>
    </row>
    <row r="650" spans="3:8">
      <c r="C650" s="28" t="s">
        <v>55</v>
      </c>
      <c r="D650" s="48" t="s">
        <v>145</v>
      </c>
      <c r="E650" s="81" t="s">
        <v>33</v>
      </c>
      <c r="F650" s="43">
        <v>0.65</v>
      </c>
      <c r="G650" s="29">
        <v>50</v>
      </c>
      <c r="H650" s="30">
        <v>32.5</v>
      </c>
    </row>
    <row r="651" spans="3:8">
      <c r="C651" s="28" t="s">
        <v>55</v>
      </c>
      <c r="D651" s="48" t="s">
        <v>146</v>
      </c>
      <c r="E651" s="81" t="s">
        <v>33</v>
      </c>
      <c r="F651" s="43">
        <v>1</v>
      </c>
      <c r="G651" s="29">
        <v>110</v>
      </c>
      <c r="H651" s="30">
        <v>110</v>
      </c>
    </row>
    <row r="652" spans="3:8">
      <c r="C652" s="28" t="s">
        <v>55</v>
      </c>
      <c r="D652" s="48" t="s">
        <v>147</v>
      </c>
      <c r="E652" s="28" t="s">
        <v>132</v>
      </c>
      <c r="F652" s="23">
        <v>15</v>
      </c>
      <c r="G652" s="33">
        <v>9.5</v>
      </c>
      <c r="H652" s="30">
        <v>142.5</v>
      </c>
    </row>
    <row r="653" spans="3:8">
      <c r="C653" s="28" t="s">
        <v>55</v>
      </c>
      <c r="D653" s="48" t="s">
        <v>148</v>
      </c>
      <c r="E653" s="28" t="s">
        <v>149</v>
      </c>
      <c r="F653" s="23">
        <v>2.2999999999999998</v>
      </c>
      <c r="G653" s="33">
        <v>90</v>
      </c>
      <c r="H653" s="44">
        <v>206.99999999999997</v>
      </c>
    </row>
    <row r="654" spans="3:8">
      <c r="C654" s="28"/>
      <c r="D654" s="48"/>
      <c r="E654" s="28"/>
      <c r="F654" s="23"/>
      <c r="G654" s="33"/>
      <c r="H654" s="44">
        <v>0</v>
      </c>
    </row>
    <row r="655" spans="3:8">
      <c r="C655" s="28"/>
      <c r="D655" s="48"/>
      <c r="E655" s="28"/>
      <c r="F655" s="23"/>
      <c r="G655" s="33">
        <v>0</v>
      </c>
      <c r="H655" s="44">
        <v>0</v>
      </c>
    </row>
    <row r="656" spans="3:8">
      <c r="C656" s="34" t="s">
        <v>21</v>
      </c>
      <c r="D656" s="34"/>
      <c r="E656" s="34"/>
      <c r="F656" s="35"/>
      <c r="G656" s="34"/>
      <c r="H656" s="36">
        <v>492</v>
      </c>
    </row>
    <row r="657" spans="3:8" ht="15.75">
      <c r="C657" s="49" t="s">
        <v>22</v>
      </c>
      <c r="D657" s="50"/>
      <c r="E657" s="50"/>
      <c r="F657" s="51"/>
      <c r="G657" s="52"/>
      <c r="H657" s="36">
        <v>2292.5837391293185</v>
      </c>
    </row>
    <row r="658" spans="3:8" ht="15.75">
      <c r="C658" s="49" t="s">
        <v>23</v>
      </c>
      <c r="D658" s="50"/>
      <c r="E658" s="50"/>
      <c r="F658" s="51"/>
      <c r="G658" s="52"/>
      <c r="H658" s="53">
        <v>564.7812830779751</v>
      </c>
    </row>
    <row r="659" spans="3:8" ht="15.75">
      <c r="C659" s="49" t="s">
        <v>24</v>
      </c>
      <c r="D659" s="50"/>
      <c r="E659" s="50"/>
      <c r="F659" s="51"/>
      <c r="G659" s="52"/>
      <c r="H659" s="36">
        <v>2857.37</v>
      </c>
    </row>
    <row r="660" spans="3:8" ht="15.75">
      <c r="C660" s="84"/>
      <c r="D660" s="84"/>
      <c r="E660" s="84"/>
      <c r="F660" s="85"/>
      <c r="G660" s="84"/>
      <c r="H660" s="86"/>
    </row>
    <row r="661" spans="3:8" ht="45">
      <c r="C661" s="5" t="s">
        <v>1</v>
      </c>
      <c r="D661" s="6" t="s">
        <v>167</v>
      </c>
      <c r="E661" s="6"/>
      <c r="F661" s="7"/>
      <c r="G661" s="8"/>
      <c r="H661" s="9"/>
    </row>
    <row r="662" spans="3:8">
      <c r="C662" s="10" t="s">
        <v>3</v>
      </c>
      <c r="D662" s="11" t="s">
        <v>168</v>
      </c>
      <c r="E662" s="12"/>
      <c r="F662" s="13" t="s">
        <v>5</v>
      </c>
      <c r="G662" s="14" t="s">
        <v>106</v>
      </c>
      <c r="H662" s="15">
        <v>6110.58</v>
      </c>
    </row>
    <row r="663" spans="3:8">
      <c r="C663" s="16" t="s">
        <v>7</v>
      </c>
      <c r="D663" s="16" t="s">
        <v>8</v>
      </c>
      <c r="E663" s="16" t="s">
        <v>9</v>
      </c>
      <c r="F663" s="17" t="s">
        <v>10</v>
      </c>
      <c r="G663" s="18" t="s">
        <v>11</v>
      </c>
      <c r="H663" s="18" t="s">
        <v>12</v>
      </c>
    </row>
    <row r="664" spans="3:8">
      <c r="C664" s="16"/>
      <c r="D664" s="16"/>
      <c r="E664" s="16"/>
      <c r="F664" s="17"/>
      <c r="G664" s="19"/>
      <c r="H664" s="19"/>
    </row>
    <row r="665" spans="3:8">
      <c r="C665" s="20" t="s">
        <v>13</v>
      </c>
      <c r="D665" s="21" t="s">
        <v>14</v>
      </c>
      <c r="E665" s="22"/>
      <c r="F665" s="23"/>
      <c r="G665" s="24"/>
      <c r="H665" s="25"/>
    </row>
    <row r="666" spans="3:8">
      <c r="C666" s="22"/>
      <c r="D666" s="54"/>
      <c r="E666" s="22"/>
      <c r="F666" s="43"/>
      <c r="G666" s="29"/>
      <c r="H666" s="30">
        <v>0</v>
      </c>
    </row>
    <row r="667" spans="3:8">
      <c r="C667" s="22" t="s">
        <v>27</v>
      </c>
      <c r="D667" s="48" t="s">
        <v>169</v>
      </c>
      <c r="E667" s="22" t="s">
        <v>109</v>
      </c>
      <c r="F667" s="43">
        <v>18.372500146969401</v>
      </c>
      <c r="G667" s="29">
        <v>115.62851926460858</v>
      </c>
      <c r="H667" s="30">
        <v>2124.3849871828752</v>
      </c>
    </row>
    <row r="668" spans="3:8">
      <c r="C668" s="22" t="s">
        <v>27</v>
      </c>
      <c r="D668" s="48" t="s">
        <v>170</v>
      </c>
      <c r="E668" s="22" t="s">
        <v>109</v>
      </c>
      <c r="F668" s="43">
        <v>6.1241667156564672</v>
      </c>
      <c r="G668" s="29">
        <v>57.709977237362267</v>
      </c>
      <c r="H668" s="30">
        <v>353.42552175834635</v>
      </c>
    </row>
    <row r="669" spans="3:8">
      <c r="C669" s="22" t="s">
        <v>27</v>
      </c>
      <c r="D669" s="48" t="s">
        <v>111</v>
      </c>
      <c r="E669" s="22" t="s">
        <v>109</v>
      </c>
      <c r="F669" s="43">
        <v>1.1224708356253501</v>
      </c>
      <c r="G669" s="29">
        <v>52.035429693461786</v>
      </c>
      <c r="H669" s="30">
        <v>58.408252250144209</v>
      </c>
    </row>
    <row r="670" spans="3:8">
      <c r="C670" s="22" t="s">
        <v>27</v>
      </c>
      <c r="D670" s="48" t="s">
        <v>138</v>
      </c>
      <c r="E670" s="22" t="s">
        <v>109</v>
      </c>
      <c r="F670" s="43">
        <v>7.0583943147396901</v>
      </c>
      <c r="G670" s="29">
        <v>74.717676591289091</v>
      </c>
      <c r="H670" s="30">
        <v>527.38682366251373</v>
      </c>
    </row>
    <row r="671" spans="3:8">
      <c r="C671" s="22"/>
      <c r="D671" s="48"/>
      <c r="E671" s="22"/>
      <c r="F671" s="43"/>
      <c r="G671" s="29"/>
      <c r="H671" s="30">
        <v>0</v>
      </c>
    </row>
    <row r="672" spans="3:8">
      <c r="C672" s="22"/>
      <c r="D672" s="48"/>
      <c r="E672" s="22"/>
      <c r="F672" s="43"/>
      <c r="G672" s="29"/>
      <c r="H672" s="30"/>
    </row>
    <row r="673" spans="3:8">
      <c r="C673" s="34" t="s">
        <v>15</v>
      </c>
      <c r="D673" s="34"/>
      <c r="E673" s="34"/>
      <c r="F673" s="35"/>
      <c r="G673" s="34"/>
      <c r="H673" s="36">
        <v>3063.6055848538799</v>
      </c>
    </row>
    <row r="674" spans="3:8">
      <c r="C674" s="37" t="s">
        <v>16</v>
      </c>
      <c r="D674" s="38" t="s">
        <v>17</v>
      </c>
      <c r="E674" s="39"/>
      <c r="F674" s="40"/>
      <c r="G674" s="41"/>
      <c r="H674" s="41"/>
    </row>
    <row r="675" spans="3:8">
      <c r="C675" s="22" t="s">
        <v>31</v>
      </c>
      <c r="D675" s="77" t="s">
        <v>139</v>
      </c>
      <c r="E675" s="22" t="s">
        <v>109</v>
      </c>
      <c r="F675" s="43">
        <v>1.5522783339423547</v>
      </c>
      <c r="G675" s="45">
        <v>264.0623143694084</v>
      </c>
      <c r="H675" s="44">
        <v>409.89820940630756</v>
      </c>
    </row>
    <row r="676" spans="3:8">
      <c r="C676" s="22" t="s">
        <v>31</v>
      </c>
      <c r="D676" s="77" t="s">
        <v>140</v>
      </c>
      <c r="E676" s="22" t="s">
        <v>29</v>
      </c>
      <c r="F676" s="43">
        <v>0.28884026258205692</v>
      </c>
      <c r="G676" s="45">
        <v>329.95867768595036</v>
      </c>
      <c r="H676" s="44">
        <v>95.305351104038181</v>
      </c>
    </row>
    <row r="677" spans="3:8">
      <c r="C677" s="22" t="s">
        <v>31</v>
      </c>
      <c r="D677" s="77" t="s">
        <v>114</v>
      </c>
      <c r="E677" s="22" t="s">
        <v>6</v>
      </c>
      <c r="F677" s="78">
        <v>0.48750000000000004</v>
      </c>
      <c r="G677" s="45">
        <v>153.18027924269401</v>
      </c>
      <c r="H677" s="44">
        <v>74.675386130813337</v>
      </c>
    </row>
    <row r="678" spans="3:8">
      <c r="C678" s="22" t="s">
        <v>31</v>
      </c>
      <c r="D678" s="58" t="s">
        <v>141</v>
      </c>
      <c r="E678" s="22" t="s">
        <v>106</v>
      </c>
      <c r="F678" s="23">
        <v>0.69118632707774796</v>
      </c>
      <c r="G678" s="45">
        <v>304.92424242424238</v>
      </c>
      <c r="H678" s="44">
        <v>210.7594671581769</v>
      </c>
    </row>
    <row r="679" spans="3:8">
      <c r="C679" s="22" t="s">
        <v>31</v>
      </c>
      <c r="D679" s="58" t="s">
        <v>142</v>
      </c>
      <c r="E679" s="22" t="s">
        <v>29</v>
      </c>
      <c r="F679" s="23">
        <v>0.35257540305779028</v>
      </c>
      <c r="G679" s="30">
        <v>349.82727272727271</v>
      </c>
      <c r="H679" s="44">
        <v>123.34049168242571</v>
      </c>
    </row>
    <row r="680" spans="3:8">
      <c r="C680" s="22" t="s">
        <v>31</v>
      </c>
      <c r="D680" s="58" t="s">
        <v>143</v>
      </c>
      <c r="E680" s="22" t="s">
        <v>29</v>
      </c>
      <c r="F680" s="23">
        <v>0.28884026258205692</v>
      </c>
      <c r="G680" s="45">
        <v>506.42566941826988</v>
      </c>
      <c r="H680" s="44">
        <v>146.27612333306703</v>
      </c>
    </row>
    <row r="681" spans="3:8">
      <c r="C681" s="22" t="s">
        <v>31</v>
      </c>
      <c r="D681" s="27" t="s">
        <v>144</v>
      </c>
      <c r="E681" s="22" t="s">
        <v>29</v>
      </c>
      <c r="F681" s="23">
        <v>0.28884026258205692</v>
      </c>
      <c r="G681" s="45">
        <v>506.42566941826988</v>
      </c>
      <c r="H681" s="44">
        <v>146.27612333306703</v>
      </c>
    </row>
    <row r="682" spans="3:8">
      <c r="C682" s="34" t="s">
        <v>18</v>
      </c>
      <c r="D682" s="34"/>
      <c r="E682" s="34"/>
      <c r="F682" s="35"/>
      <c r="G682" s="34"/>
      <c r="H682" s="36">
        <v>1206.5311521478957</v>
      </c>
    </row>
    <row r="683" spans="3:8">
      <c r="C683" s="37" t="s">
        <v>19</v>
      </c>
      <c r="D683" s="38" t="s">
        <v>20</v>
      </c>
      <c r="E683" s="39"/>
      <c r="F683" s="46"/>
      <c r="G683" s="47"/>
      <c r="H683" s="47">
        <v>0</v>
      </c>
    </row>
    <row r="684" spans="3:8">
      <c r="C684" s="28" t="s">
        <v>55</v>
      </c>
      <c r="D684" s="48" t="s">
        <v>145</v>
      </c>
      <c r="E684" s="81" t="s">
        <v>33</v>
      </c>
      <c r="F684" s="43">
        <v>0.65</v>
      </c>
      <c r="G684" s="29">
        <v>50</v>
      </c>
      <c r="H684" s="30">
        <v>32.5</v>
      </c>
    </row>
    <row r="685" spans="3:8">
      <c r="C685" s="28" t="s">
        <v>55</v>
      </c>
      <c r="D685" s="48" t="s">
        <v>146</v>
      </c>
      <c r="E685" s="81" t="s">
        <v>33</v>
      </c>
      <c r="F685" s="43">
        <v>1</v>
      </c>
      <c r="G685" s="29">
        <v>110</v>
      </c>
      <c r="H685" s="30">
        <v>110</v>
      </c>
    </row>
    <row r="686" spans="3:8">
      <c r="C686" s="28" t="s">
        <v>55</v>
      </c>
      <c r="D686" s="48" t="s">
        <v>147</v>
      </c>
      <c r="E686" s="28" t="s">
        <v>132</v>
      </c>
      <c r="F686" s="23">
        <v>15</v>
      </c>
      <c r="G686" s="33">
        <v>9.5</v>
      </c>
      <c r="H686" s="44">
        <v>142.5</v>
      </c>
    </row>
    <row r="687" spans="3:8">
      <c r="C687" s="28" t="s">
        <v>55</v>
      </c>
      <c r="D687" s="48" t="s">
        <v>148</v>
      </c>
      <c r="E687" s="28" t="s">
        <v>149</v>
      </c>
      <c r="F687" s="23">
        <v>2.2999999999999998</v>
      </c>
      <c r="G687" s="33">
        <v>90</v>
      </c>
      <c r="H687" s="44">
        <v>206.99999999999997</v>
      </c>
    </row>
    <row r="688" spans="3:8">
      <c r="C688" s="28" t="s">
        <v>55</v>
      </c>
      <c r="D688" s="48" t="s">
        <v>150</v>
      </c>
      <c r="E688" s="28" t="s">
        <v>6</v>
      </c>
      <c r="F688" s="23">
        <v>1</v>
      </c>
      <c r="G688" s="33">
        <v>30.6750129048311</v>
      </c>
      <c r="H688" s="44">
        <v>30.6750129048311</v>
      </c>
    </row>
    <row r="689" spans="3:8">
      <c r="C689" s="28" t="s">
        <v>55</v>
      </c>
      <c r="D689" s="48" t="s">
        <v>151</v>
      </c>
      <c r="E689" s="28" t="s">
        <v>6</v>
      </c>
      <c r="F689" s="23">
        <v>0.5</v>
      </c>
      <c r="G689" s="33">
        <v>219.92292225201072</v>
      </c>
      <c r="H689" s="44">
        <v>109.96146112600536</v>
      </c>
    </row>
    <row r="690" spans="3:8">
      <c r="C690" s="28"/>
      <c r="D690" s="92"/>
      <c r="E690" s="28"/>
      <c r="F690" s="23"/>
      <c r="G690" s="33"/>
      <c r="H690" s="44">
        <v>0</v>
      </c>
    </row>
    <row r="691" spans="3:8">
      <c r="C691" s="28"/>
      <c r="D691" s="48"/>
      <c r="E691" s="28"/>
      <c r="F691" s="23"/>
      <c r="G691" s="33"/>
      <c r="H691" s="44">
        <v>0</v>
      </c>
    </row>
    <row r="692" spans="3:8">
      <c r="C692" s="34" t="s">
        <v>21</v>
      </c>
      <c r="D692" s="34"/>
      <c r="E692" s="34"/>
      <c r="F692" s="35"/>
      <c r="G692" s="34"/>
      <c r="H692" s="36">
        <v>632.63647403083644</v>
      </c>
    </row>
    <row r="693" spans="3:8" ht="15.75">
      <c r="C693" s="49" t="s">
        <v>22</v>
      </c>
      <c r="D693" s="50"/>
      <c r="E693" s="50"/>
      <c r="F693" s="51"/>
      <c r="G693" s="52"/>
      <c r="H693" s="36">
        <v>4902.7732110326124</v>
      </c>
    </row>
    <row r="694" spans="3:8" ht="15.75">
      <c r="C694" s="49" t="s">
        <v>23</v>
      </c>
      <c r="D694" s="50"/>
      <c r="E694" s="50"/>
      <c r="F694" s="51"/>
      <c r="G694" s="52"/>
      <c r="H694" s="53">
        <v>1207.8051926770345</v>
      </c>
    </row>
    <row r="695" spans="3:8" ht="15.75">
      <c r="C695" s="49" t="s">
        <v>24</v>
      </c>
      <c r="D695" s="50"/>
      <c r="E695" s="50"/>
      <c r="F695" s="51"/>
      <c r="G695" s="52"/>
      <c r="H695" s="36">
        <v>6110.58</v>
      </c>
    </row>
    <row r="696" spans="3:8" ht="15.75">
      <c r="C696" s="84"/>
      <c r="D696" s="84"/>
      <c r="E696" s="84"/>
      <c r="F696" s="85"/>
      <c r="G696" s="84"/>
      <c r="H696" s="86"/>
    </row>
    <row r="697" spans="3:8" ht="30">
      <c r="C697" s="5" t="s">
        <v>1</v>
      </c>
      <c r="D697" s="6" t="s">
        <v>171</v>
      </c>
      <c r="E697" s="6"/>
      <c r="F697" s="7"/>
      <c r="G697" s="8"/>
      <c r="H697" s="9"/>
    </row>
    <row r="698" spans="3:8">
      <c r="C698" s="10" t="s">
        <v>3</v>
      </c>
      <c r="D698" s="11" t="s">
        <v>172</v>
      </c>
      <c r="E698" s="12"/>
      <c r="F698" s="13" t="s">
        <v>5</v>
      </c>
      <c r="G698" s="14" t="s">
        <v>106</v>
      </c>
      <c r="H698" s="15">
        <v>6110.58</v>
      </c>
    </row>
    <row r="699" spans="3:8">
      <c r="C699" s="16" t="s">
        <v>7</v>
      </c>
      <c r="D699" s="16" t="s">
        <v>8</v>
      </c>
      <c r="E699" s="16" t="s">
        <v>9</v>
      </c>
      <c r="F699" s="17" t="s">
        <v>10</v>
      </c>
      <c r="G699" s="18" t="s">
        <v>11</v>
      </c>
      <c r="H699" s="18" t="s">
        <v>12</v>
      </c>
    </row>
    <row r="700" spans="3:8">
      <c r="C700" s="16"/>
      <c r="D700" s="16"/>
      <c r="E700" s="16"/>
      <c r="F700" s="17"/>
      <c r="G700" s="19"/>
      <c r="H700" s="19"/>
    </row>
    <row r="701" spans="3:8">
      <c r="C701" s="20" t="s">
        <v>13</v>
      </c>
      <c r="D701" s="21" t="s">
        <v>14</v>
      </c>
      <c r="E701" s="22"/>
      <c r="F701" s="23"/>
      <c r="G701" s="24"/>
      <c r="H701" s="25"/>
    </row>
    <row r="702" spans="3:8">
      <c r="C702" s="22"/>
      <c r="D702" s="54"/>
      <c r="E702" s="22"/>
      <c r="F702" s="43"/>
      <c r="G702" s="29"/>
      <c r="H702" s="30">
        <v>0</v>
      </c>
    </row>
    <row r="703" spans="3:8">
      <c r="C703" s="22" t="s">
        <v>27</v>
      </c>
      <c r="D703" s="48" t="s">
        <v>169</v>
      </c>
      <c r="E703" s="22" t="s">
        <v>109</v>
      </c>
      <c r="F703" s="43">
        <v>18.372500146969401</v>
      </c>
      <c r="G703" s="29">
        <v>115.62851926460858</v>
      </c>
      <c r="H703" s="30">
        <v>2124.3849871828752</v>
      </c>
    </row>
    <row r="704" spans="3:8">
      <c r="C704" s="22" t="s">
        <v>27</v>
      </c>
      <c r="D704" s="48" t="s">
        <v>170</v>
      </c>
      <c r="E704" s="22" t="s">
        <v>109</v>
      </c>
      <c r="F704" s="43">
        <v>6.1241667156564672</v>
      </c>
      <c r="G704" s="29">
        <v>57.709977237362267</v>
      </c>
      <c r="H704" s="30">
        <v>353.42552175834635</v>
      </c>
    </row>
    <row r="705" spans="3:8">
      <c r="C705" s="22" t="s">
        <v>27</v>
      </c>
      <c r="D705" s="48" t="s">
        <v>111</v>
      </c>
      <c r="E705" s="22" t="s">
        <v>109</v>
      </c>
      <c r="F705" s="43">
        <v>1.1224708356253501</v>
      </c>
      <c r="G705" s="29">
        <v>52.035429693461786</v>
      </c>
      <c r="H705" s="30">
        <v>58.408252250144209</v>
      </c>
    </row>
    <row r="706" spans="3:8">
      <c r="C706" s="22" t="s">
        <v>27</v>
      </c>
      <c r="D706" s="48" t="s">
        <v>138</v>
      </c>
      <c r="E706" s="22" t="s">
        <v>109</v>
      </c>
      <c r="F706" s="43">
        <v>7.0583943147396901</v>
      </c>
      <c r="G706" s="29">
        <v>74.717676591289091</v>
      </c>
      <c r="H706" s="30">
        <v>527.38682366251373</v>
      </c>
    </row>
    <row r="707" spans="3:8">
      <c r="C707" s="22"/>
      <c r="D707" s="48"/>
      <c r="E707" s="22"/>
      <c r="F707" s="43"/>
      <c r="G707" s="29"/>
      <c r="H707" s="30">
        <v>0</v>
      </c>
    </row>
    <row r="708" spans="3:8">
      <c r="C708" s="22"/>
      <c r="D708" s="48"/>
      <c r="E708" s="22"/>
      <c r="F708" s="43"/>
      <c r="G708" s="29"/>
      <c r="H708" s="30"/>
    </row>
    <row r="709" spans="3:8">
      <c r="C709" s="34" t="s">
        <v>15</v>
      </c>
      <c r="D709" s="34"/>
      <c r="E709" s="34"/>
      <c r="F709" s="35"/>
      <c r="G709" s="34"/>
      <c r="H709" s="36">
        <v>3063.6055848538799</v>
      </c>
    </row>
    <row r="710" spans="3:8">
      <c r="C710" s="37" t="s">
        <v>16</v>
      </c>
      <c r="D710" s="38" t="s">
        <v>17</v>
      </c>
      <c r="E710" s="39"/>
      <c r="F710" s="40"/>
      <c r="G710" s="41"/>
      <c r="H710" s="41"/>
    </row>
    <row r="711" spans="3:8">
      <c r="C711" s="22" t="s">
        <v>31</v>
      </c>
      <c r="D711" s="77" t="s">
        <v>139</v>
      </c>
      <c r="E711" s="22" t="s">
        <v>109</v>
      </c>
      <c r="F711" s="43">
        <v>1.5522783339423547</v>
      </c>
      <c r="G711" s="45">
        <v>264.0623143694084</v>
      </c>
      <c r="H711" s="44">
        <v>409.89820940630756</v>
      </c>
    </row>
    <row r="712" spans="3:8">
      <c r="C712" s="22" t="s">
        <v>31</v>
      </c>
      <c r="D712" s="77" t="s">
        <v>140</v>
      </c>
      <c r="E712" s="22" t="s">
        <v>29</v>
      </c>
      <c r="F712" s="43">
        <v>0.28884026258205692</v>
      </c>
      <c r="G712" s="45">
        <v>329.95867768595036</v>
      </c>
      <c r="H712" s="44">
        <v>95.305351104038181</v>
      </c>
    </row>
    <row r="713" spans="3:8">
      <c r="C713" s="22" t="s">
        <v>31</v>
      </c>
      <c r="D713" s="77" t="s">
        <v>114</v>
      </c>
      <c r="E713" s="22" t="s">
        <v>6</v>
      </c>
      <c r="F713" s="78">
        <v>0.48750000000000004</v>
      </c>
      <c r="G713" s="45">
        <v>153.18027924269401</v>
      </c>
      <c r="H713" s="44">
        <v>74.675386130813337</v>
      </c>
    </row>
    <row r="714" spans="3:8">
      <c r="C714" s="22" t="s">
        <v>31</v>
      </c>
      <c r="D714" s="58" t="s">
        <v>141</v>
      </c>
      <c r="E714" s="22" t="s">
        <v>106</v>
      </c>
      <c r="F714" s="23">
        <v>0.69118632707774796</v>
      </c>
      <c r="G714" s="45">
        <v>304.92424242424238</v>
      </c>
      <c r="H714" s="44">
        <v>210.7594671581769</v>
      </c>
    </row>
    <row r="715" spans="3:8">
      <c r="C715" s="22" t="s">
        <v>31</v>
      </c>
      <c r="D715" s="58" t="s">
        <v>142</v>
      </c>
      <c r="E715" s="22" t="s">
        <v>29</v>
      </c>
      <c r="F715" s="23">
        <v>0.35257540305779028</v>
      </c>
      <c r="G715" s="30">
        <v>349.82727272727271</v>
      </c>
      <c r="H715" s="44">
        <v>123.34049168242571</v>
      </c>
    </row>
    <row r="716" spans="3:8">
      <c r="C716" s="22" t="s">
        <v>31</v>
      </c>
      <c r="D716" s="58" t="s">
        <v>143</v>
      </c>
      <c r="E716" s="22" t="s">
        <v>29</v>
      </c>
      <c r="F716" s="23">
        <v>0.28884026258205692</v>
      </c>
      <c r="G716" s="45">
        <v>506.42566941826988</v>
      </c>
      <c r="H716" s="44">
        <v>146.27612333306703</v>
      </c>
    </row>
    <row r="717" spans="3:8">
      <c r="C717" s="22" t="s">
        <v>31</v>
      </c>
      <c r="D717" s="27" t="s">
        <v>144</v>
      </c>
      <c r="E717" s="22" t="s">
        <v>29</v>
      </c>
      <c r="F717" s="23">
        <v>0.28884026258205692</v>
      </c>
      <c r="G717" s="45">
        <v>506.42566941826988</v>
      </c>
      <c r="H717" s="44">
        <v>146.27612333306703</v>
      </c>
    </row>
    <row r="718" spans="3:8">
      <c r="C718" s="34" t="s">
        <v>18</v>
      </c>
      <c r="D718" s="34"/>
      <c r="E718" s="34"/>
      <c r="F718" s="35"/>
      <c r="G718" s="34"/>
      <c r="H718" s="36">
        <v>1206.5311521478957</v>
      </c>
    </row>
    <row r="719" spans="3:8">
      <c r="C719" s="37" t="s">
        <v>19</v>
      </c>
      <c r="D719" s="38" t="s">
        <v>20</v>
      </c>
      <c r="E719" s="39"/>
      <c r="F719" s="46"/>
      <c r="G719" s="47"/>
      <c r="H719" s="47">
        <v>0</v>
      </c>
    </row>
    <row r="720" spans="3:8">
      <c r="C720" s="28" t="s">
        <v>55</v>
      </c>
      <c r="D720" s="48" t="s">
        <v>145</v>
      </c>
      <c r="E720" s="81" t="s">
        <v>33</v>
      </c>
      <c r="F720" s="43">
        <v>0.65</v>
      </c>
      <c r="G720" s="29">
        <v>50</v>
      </c>
      <c r="H720" s="30">
        <v>32.5</v>
      </c>
    </row>
    <row r="721" spans="3:8">
      <c r="C721" s="28" t="s">
        <v>55</v>
      </c>
      <c r="D721" s="48" t="s">
        <v>146</v>
      </c>
      <c r="E721" s="81" t="s">
        <v>33</v>
      </c>
      <c r="F721" s="43">
        <v>1</v>
      </c>
      <c r="G721" s="29">
        <v>110</v>
      </c>
      <c r="H721" s="30">
        <v>110</v>
      </c>
    </row>
    <row r="722" spans="3:8">
      <c r="C722" s="28" t="s">
        <v>55</v>
      </c>
      <c r="D722" s="48" t="s">
        <v>147</v>
      </c>
      <c r="E722" s="28" t="s">
        <v>132</v>
      </c>
      <c r="F722" s="23">
        <v>15</v>
      </c>
      <c r="G722" s="33">
        <v>9.5</v>
      </c>
      <c r="H722" s="33">
        <v>142.5</v>
      </c>
    </row>
    <row r="723" spans="3:8">
      <c r="C723" s="28" t="s">
        <v>55</v>
      </c>
      <c r="D723" s="48" t="s">
        <v>148</v>
      </c>
      <c r="E723" s="28" t="s">
        <v>149</v>
      </c>
      <c r="F723" s="23">
        <v>2.2999999999999998</v>
      </c>
      <c r="G723" s="33">
        <v>90</v>
      </c>
      <c r="H723" s="33">
        <v>206.99999999999997</v>
      </c>
    </row>
    <row r="724" spans="3:8">
      <c r="C724" s="28" t="s">
        <v>55</v>
      </c>
      <c r="D724" s="48" t="s">
        <v>150</v>
      </c>
      <c r="E724" s="28" t="s">
        <v>6</v>
      </c>
      <c r="F724" s="23">
        <v>1</v>
      </c>
      <c r="G724" s="33">
        <v>30.6750129048311</v>
      </c>
      <c r="H724" s="44">
        <v>30.6750129048311</v>
      </c>
    </row>
    <row r="725" spans="3:8">
      <c r="C725" s="28" t="s">
        <v>55</v>
      </c>
      <c r="D725" s="48" t="s">
        <v>151</v>
      </c>
      <c r="E725" s="28" t="s">
        <v>6</v>
      </c>
      <c r="F725" s="23">
        <v>0.5</v>
      </c>
      <c r="G725" s="33">
        <v>219.92292225201072</v>
      </c>
      <c r="H725" s="44">
        <v>109.96146112600536</v>
      </c>
    </row>
    <row r="726" spans="3:8">
      <c r="C726" s="28"/>
      <c r="D726" s="48"/>
      <c r="E726" s="28"/>
      <c r="F726" s="23"/>
      <c r="G726" s="33">
        <v>0</v>
      </c>
      <c r="H726" s="44">
        <v>0</v>
      </c>
    </row>
    <row r="727" spans="3:8">
      <c r="C727" s="28"/>
      <c r="D727" s="48"/>
      <c r="E727" s="28"/>
      <c r="F727" s="23"/>
      <c r="G727" s="33">
        <v>0</v>
      </c>
      <c r="H727" s="44">
        <v>0</v>
      </c>
    </row>
    <row r="728" spans="3:8">
      <c r="C728" s="28"/>
      <c r="D728" s="92"/>
      <c r="E728" s="28"/>
      <c r="F728" s="23"/>
      <c r="G728" s="33">
        <v>0</v>
      </c>
      <c r="H728" s="44">
        <v>0</v>
      </c>
    </row>
    <row r="729" spans="3:8">
      <c r="C729" s="28"/>
      <c r="D729" s="48"/>
      <c r="E729" s="28"/>
      <c r="F729" s="23"/>
      <c r="G729" s="33">
        <v>0</v>
      </c>
      <c r="H729" s="44">
        <v>0</v>
      </c>
    </row>
    <row r="730" spans="3:8">
      <c r="C730" s="34" t="s">
        <v>21</v>
      </c>
      <c r="D730" s="34"/>
      <c r="E730" s="34"/>
      <c r="F730" s="35"/>
      <c r="G730" s="34"/>
      <c r="H730" s="36">
        <v>632.63647403083644</v>
      </c>
    </row>
    <row r="731" spans="3:8" ht="15.75">
      <c r="C731" s="49" t="s">
        <v>22</v>
      </c>
      <c r="D731" s="50"/>
      <c r="E731" s="50"/>
      <c r="F731" s="51"/>
      <c r="G731" s="52"/>
      <c r="H731" s="36">
        <v>4902.7732110326124</v>
      </c>
    </row>
    <row r="732" spans="3:8" ht="15.75">
      <c r="C732" s="49" t="s">
        <v>23</v>
      </c>
      <c r="D732" s="50"/>
      <c r="E732" s="50"/>
      <c r="F732" s="51"/>
      <c r="G732" s="52"/>
      <c r="H732" s="53">
        <v>1207.8051926770345</v>
      </c>
    </row>
    <row r="733" spans="3:8" ht="15.75">
      <c r="C733" s="49" t="s">
        <v>24</v>
      </c>
      <c r="D733" s="50"/>
      <c r="E733" s="50"/>
      <c r="F733" s="51"/>
      <c r="G733" s="52"/>
      <c r="H733" s="36">
        <v>6110.58</v>
      </c>
    </row>
    <row r="734" spans="3:8" ht="15.75">
      <c r="C734" s="84"/>
      <c r="D734" s="84"/>
      <c r="E734" s="84"/>
      <c r="F734" s="85"/>
      <c r="G734" s="84"/>
      <c r="H734" s="86"/>
    </row>
    <row r="735" spans="3:8" ht="30">
      <c r="C735" s="5" t="s">
        <v>1</v>
      </c>
      <c r="D735" s="6" t="s">
        <v>173</v>
      </c>
      <c r="E735" s="6"/>
      <c r="F735" s="7"/>
      <c r="G735" s="8"/>
      <c r="H735" s="9"/>
    </row>
    <row r="736" spans="3:8">
      <c r="C736" s="10" t="s">
        <v>3</v>
      </c>
      <c r="D736" s="11" t="s">
        <v>174</v>
      </c>
      <c r="E736" s="12"/>
      <c r="F736" s="13" t="s">
        <v>5</v>
      </c>
      <c r="G736" s="14" t="s">
        <v>106</v>
      </c>
      <c r="H736" s="15">
        <v>9405.64</v>
      </c>
    </row>
    <row r="737" spans="3:8">
      <c r="C737" s="16" t="s">
        <v>7</v>
      </c>
      <c r="D737" s="16" t="s">
        <v>8</v>
      </c>
      <c r="E737" s="16" t="s">
        <v>9</v>
      </c>
      <c r="F737" s="17" t="s">
        <v>10</v>
      </c>
      <c r="G737" s="18" t="s">
        <v>11</v>
      </c>
      <c r="H737" s="18" t="s">
        <v>12</v>
      </c>
    </row>
    <row r="738" spans="3:8">
      <c r="C738" s="16"/>
      <c r="D738" s="16"/>
      <c r="E738" s="16"/>
      <c r="F738" s="17"/>
      <c r="G738" s="19"/>
      <c r="H738" s="19"/>
    </row>
    <row r="739" spans="3:8">
      <c r="C739" s="20" t="s">
        <v>13</v>
      </c>
      <c r="D739" s="21" t="s">
        <v>14</v>
      </c>
      <c r="E739" s="22"/>
      <c r="F739" s="23"/>
      <c r="G739" s="24"/>
      <c r="H739" s="25"/>
    </row>
    <row r="740" spans="3:8">
      <c r="C740" s="22"/>
      <c r="D740" s="54"/>
      <c r="E740" s="22"/>
      <c r="F740" s="43"/>
      <c r="G740" s="29"/>
      <c r="H740" s="30">
        <v>0</v>
      </c>
    </row>
    <row r="741" spans="3:8">
      <c r="C741" s="22" t="s">
        <v>27</v>
      </c>
      <c r="D741" s="48" t="s">
        <v>169</v>
      </c>
      <c r="E741" s="22" t="s">
        <v>109</v>
      </c>
      <c r="F741" s="43">
        <v>42.256750338029697</v>
      </c>
      <c r="G741" s="29">
        <v>115.62851926460858</v>
      </c>
      <c r="H741" s="30">
        <v>4886.085470520622</v>
      </c>
    </row>
    <row r="742" spans="3:8">
      <c r="C742" s="22" t="s">
        <v>27</v>
      </c>
      <c r="D742" s="48" t="s">
        <v>170</v>
      </c>
      <c r="E742" s="22" t="s">
        <v>109</v>
      </c>
      <c r="F742" s="43">
        <v>5.0769582916920051</v>
      </c>
      <c r="G742" s="29">
        <v>57.709977237362267</v>
      </c>
      <c r="H742" s="30">
        <v>292.99114744858321</v>
      </c>
    </row>
    <row r="743" spans="3:8">
      <c r="C743" s="22" t="s">
        <v>27</v>
      </c>
      <c r="D743" s="48" t="s">
        <v>111</v>
      </c>
      <c r="E743" s="22" t="s">
        <v>109</v>
      </c>
      <c r="F743" s="43">
        <v>1.1224708356253501</v>
      </c>
      <c r="G743" s="29">
        <v>52.035429693461786</v>
      </c>
      <c r="H743" s="30">
        <v>58.408252250144209</v>
      </c>
    </row>
    <row r="744" spans="3:8">
      <c r="C744" s="22" t="s">
        <v>27</v>
      </c>
      <c r="D744" s="48" t="s">
        <v>138</v>
      </c>
      <c r="E744" s="22" t="s">
        <v>109</v>
      </c>
      <c r="F744" s="43">
        <v>7.0583943147396901</v>
      </c>
      <c r="G744" s="29">
        <v>74.717676591289091</v>
      </c>
      <c r="H744" s="30">
        <v>527.38682366251373</v>
      </c>
    </row>
    <row r="745" spans="3:8">
      <c r="C745" s="22"/>
      <c r="D745" s="48"/>
      <c r="E745" s="22"/>
      <c r="F745" s="43"/>
      <c r="G745" s="29"/>
      <c r="H745" s="30">
        <v>0</v>
      </c>
    </row>
    <row r="746" spans="3:8">
      <c r="C746" s="22"/>
      <c r="D746" s="48"/>
      <c r="E746" s="22"/>
      <c r="F746" s="43"/>
      <c r="G746" s="29"/>
      <c r="H746" s="30"/>
    </row>
    <row r="747" spans="3:8">
      <c r="C747" s="34" t="s">
        <v>15</v>
      </c>
      <c r="D747" s="34"/>
      <c r="E747" s="34"/>
      <c r="F747" s="35"/>
      <c r="G747" s="34"/>
      <c r="H747" s="36">
        <v>5764.8716938818634</v>
      </c>
    </row>
    <row r="748" spans="3:8">
      <c r="C748" s="37" t="s">
        <v>16</v>
      </c>
      <c r="D748" s="38" t="s">
        <v>17</v>
      </c>
      <c r="E748" s="39"/>
      <c r="F748" s="40"/>
      <c r="G748" s="41"/>
      <c r="H748" s="41"/>
    </row>
    <row r="749" spans="3:8">
      <c r="C749" s="22" t="s">
        <v>31</v>
      </c>
      <c r="D749" s="77" t="s">
        <v>139</v>
      </c>
      <c r="E749" s="22" t="s">
        <v>109</v>
      </c>
      <c r="F749" s="43">
        <v>1.5522783339423547</v>
      </c>
      <c r="G749" s="45">
        <v>264.0623143694084</v>
      </c>
      <c r="H749" s="44">
        <v>409.89820940630756</v>
      </c>
    </row>
    <row r="750" spans="3:8">
      <c r="C750" s="22" t="s">
        <v>31</v>
      </c>
      <c r="D750" s="77" t="s">
        <v>140</v>
      </c>
      <c r="E750" s="22" t="s">
        <v>29</v>
      </c>
      <c r="F750" s="43">
        <v>0.28884026258205692</v>
      </c>
      <c r="G750" s="45">
        <v>329.95867768595036</v>
      </c>
      <c r="H750" s="44">
        <v>95.305351104038181</v>
      </c>
    </row>
    <row r="751" spans="3:8">
      <c r="C751" s="22" t="s">
        <v>31</v>
      </c>
      <c r="D751" s="77" t="s">
        <v>114</v>
      </c>
      <c r="E751" s="22" t="s">
        <v>6</v>
      </c>
      <c r="F751" s="78">
        <v>0.48750000000000004</v>
      </c>
      <c r="G751" s="45">
        <v>288.24358469409316</v>
      </c>
      <c r="H751" s="44">
        <v>140.51874753837043</v>
      </c>
    </row>
    <row r="752" spans="3:8">
      <c r="C752" s="22" t="s">
        <v>31</v>
      </c>
      <c r="D752" s="58" t="s">
        <v>141</v>
      </c>
      <c r="E752" s="22" t="s">
        <v>106</v>
      </c>
      <c r="F752" s="23">
        <v>0.69118632707774796</v>
      </c>
      <c r="G752" s="45">
        <v>304.92424242424238</v>
      </c>
      <c r="H752" s="44">
        <v>210.7594671581769</v>
      </c>
    </row>
    <row r="753" spans="3:8">
      <c r="C753" s="22" t="s">
        <v>31</v>
      </c>
      <c r="D753" s="58" t="s">
        <v>143</v>
      </c>
      <c r="E753" s="22" t="s">
        <v>29</v>
      </c>
      <c r="F753" s="23">
        <v>0.28884026258205692</v>
      </c>
      <c r="G753" s="45">
        <v>506.42566941826988</v>
      </c>
      <c r="H753" s="44">
        <v>146.27612333306703</v>
      </c>
    </row>
    <row r="754" spans="3:8">
      <c r="C754" s="22" t="s">
        <v>31</v>
      </c>
      <c r="D754" s="27" t="s">
        <v>144</v>
      </c>
      <c r="E754" s="22" t="s">
        <v>29</v>
      </c>
      <c r="F754" s="23">
        <v>0.28884026258205692</v>
      </c>
      <c r="G754" s="45">
        <v>506.42566941826988</v>
      </c>
      <c r="H754" s="44">
        <v>146.27612333306703</v>
      </c>
    </row>
    <row r="755" spans="3:8">
      <c r="C755" s="22"/>
      <c r="D755" s="27"/>
      <c r="E755" s="22"/>
      <c r="F755" s="32"/>
      <c r="G755" s="30">
        <v>0</v>
      </c>
      <c r="H755" s="44">
        <v>0</v>
      </c>
    </row>
    <row r="756" spans="3:8">
      <c r="C756" s="34" t="s">
        <v>18</v>
      </c>
      <c r="D756" s="34"/>
      <c r="E756" s="34"/>
      <c r="F756" s="35"/>
      <c r="G756" s="34"/>
      <c r="H756" s="36">
        <v>1149.0340218730271</v>
      </c>
    </row>
    <row r="757" spans="3:8">
      <c r="C757" s="37" t="s">
        <v>19</v>
      </c>
      <c r="D757" s="38" t="s">
        <v>20</v>
      </c>
      <c r="E757" s="39"/>
      <c r="F757" s="46"/>
      <c r="G757" s="47"/>
      <c r="H757" s="47">
        <v>0</v>
      </c>
    </row>
    <row r="758" spans="3:8">
      <c r="C758" s="28" t="s">
        <v>55</v>
      </c>
      <c r="D758" s="48" t="s">
        <v>145</v>
      </c>
      <c r="E758" s="81" t="s">
        <v>33</v>
      </c>
      <c r="F758" s="43">
        <v>0.65</v>
      </c>
      <c r="G758" s="29">
        <v>50</v>
      </c>
      <c r="H758" s="30">
        <v>32.5</v>
      </c>
    </row>
    <row r="759" spans="3:8">
      <c r="C759" s="28" t="s">
        <v>55</v>
      </c>
      <c r="D759" s="48" t="s">
        <v>146</v>
      </c>
      <c r="E759" s="81" t="s">
        <v>33</v>
      </c>
      <c r="F759" s="43">
        <v>1</v>
      </c>
      <c r="G759" s="29">
        <v>110</v>
      </c>
      <c r="H759" s="30">
        <v>110</v>
      </c>
    </row>
    <row r="760" spans="3:8">
      <c r="C760" s="28" t="s">
        <v>55</v>
      </c>
      <c r="D760" s="48" t="s">
        <v>147</v>
      </c>
      <c r="E760" s="28" t="s">
        <v>132</v>
      </c>
      <c r="F760" s="23">
        <v>15</v>
      </c>
      <c r="G760" s="33">
        <v>9.5</v>
      </c>
      <c r="H760" s="33">
        <v>142.5</v>
      </c>
    </row>
    <row r="761" spans="3:8">
      <c r="C761" s="28" t="s">
        <v>55</v>
      </c>
      <c r="D761" s="48" t="s">
        <v>148</v>
      </c>
      <c r="E761" s="28" t="s">
        <v>149</v>
      </c>
      <c r="F761" s="23">
        <v>2.2999999999999998</v>
      </c>
      <c r="G761" s="33">
        <v>90</v>
      </c>
      <c r="H761" s="33">
        <v>206.99999999999997</v>
      </c>
    </row>
    <row r="762" spans="3:8">
      <c r="C762" s="28" t="s">
        <v>55</v>
      </c>
      <c r="D762" s="48" t="s">
        <v>150</v>
      </c>
      <c r="E762" s="28" t="s">
        <v>6</v>
      </c>
      <c r="F762" s="23">
        <v>1</v>
      </c>
      <c r="G762" s="33">
        <v>30.6750129048311</v>
      </c>
      <c r="H762" s="44">
        <v>30.6750129048311</v>
      </c>
    </row>
    <row r="763" spans="3:8">
      <c r="C763" s="28" t="s">
        <v>55</v>
      </c>
      <c r="D763" s="48" t="s">
        <v>151</v>
      </c>
      <c r="E763" s="28" t="s">
        <v>6</v>
      </c>
      <c r="F763" s="23">
        <v>0.5</v>
      </c>
      <c r="G763" s="33">
        <v>219.92292225201072</v>
      </c>
      <c r="H763" s="44">
        <v>109.96146112600536</v>
      </c>
    </row>
    <row r="764" spans="3:8">
      <c r="C764" s="28"/>
      <c r="D764" s="48"/>
      <c r="E764" s="28"/>
      <c r="F764" s="23"/>
      <c r="G764" s="33">
        <v>0</v>
      </c>
      <c r="H764" s="44">
        <v>0</v>
      </c>
    </row>
    <row r="765" spans="3:8">
      <c r="C765" s="28"/>
      <c r="D765" s="48"/>
      <c r="E765" s="28"/>
      <c r="F765" s="23"/>
      <c r="G765" s="33">
        <v>0</v>
      </c>
      <c r="H765" s="44">
        <v>0</v>
      </c>
    </row>
    <row r="766" spans="3:8">
      <c r="C766" s="28"/>
      <c r="D766" s="92"/>
      <c r="E766" s="28"/>
      <c r="F766" s="23"/>
      <c r="G766" s="33">
        <v>0</v>
      </c>
      <c r="H766" s="44">
        <v>0</v>
      </c>
    </row>
    <row r="767" spans="3:8">
      <c r="C767" s="28"/>
      <c r="D767" s="48"/>
      <c r="E767" s="28"/>
      <c r="F767" s="23"/>
      <c r="G767" s="33">
        <v>0</v>
      </c>
      <c r="H767" s="44">
        <v>0</v>
      </c>
    </row>
    <row r="768" spans="3:8">
      <c r="C768" s="34" t="s">
        <v>21</v>
      </c>
      <c r="D768" s="34"/>
      <c r="E768" s="34"/>
      <c r="F768" s="35"/>
      <c r="G768" s="34"/>
      <c r="H768" s="36">
        <v>632.63647403083644</v>
      </c>
    </row>
    <row r="769" spans="3:8" ht="15.75">
      <c r="C769" s="49" t="s">
        <v>22</v>
      </c>
      <c r="D769" s="50"/>
      <c r="E769" s="50"/>
      <c r="F769" s="51"/>
      <c r="G769" s="52"/>
      <c r="H769" s="36">
        <v>7546.5421897857268</v>
      </c>
    </row>
    <row r="770" spans="3:8" ht="15.75">
      <c r="C770" s="49" t="s">
        <v>23</v>
      </c>
      <c r="D770" s="50"/>
      <c r="E770" s="50"/>
      <c r="F770" s="51"/>
      <c r="G770" s="52"/>
      <c r="H770" s="53">
        <v>1859.1014618152792</v>
      </c>
    </row>
    <row r="771" spans="3:8" ht="15.75">
      <c r="C771" s="49" t="s">
        <v>24</v>
      </c>
      <c r="D771" s="50"/>
      <c r="E771" s="50"/>
      <c r="F771" s="51"/>
      <c r="G771" s="52"/>
      <c r="H771" s="36">
        <v>9405.64</v>
      </c>
    </row>
    <row r="772" spans="3:8" ht="15.75">
      <c r="C772" s="84"/>
      <c r="D772" s="84"/>
      <c r="E772" s="84"/>
      <c r="F772" s="85"/>
      <c r="G772" s="84"/>
      <c r="H772" s="86"/>
    </row>
    <row r="773" spans="3:8">
      <c r="C773" s="5" t="s">
        <v>1</v>
      </c>
      <c r="D773" s="6" t="s">
        <v>175</v>
      </c>
      <c r="E773" s="6"/>
      <c r="F773" s="7"/>
      <c r="G773" s="8"/>
      <c r="H773" s="9"/>
    </row>
    <row r="774" spans="3:8">
      <c r="C774" s="10" t="s">
        <v>3</v>
      </c>
      <c r="D774" s="11" t="s">
        <v>176</v>
      </c>
      <c r="E774" s="12"/>
      <c r="F774" s="13" t="s">
        <v>5</v>
      </c>
      <c r="G774" s="14" t="s">
        <v>177</v>
      </c>
      <c r="H774" s="15">
        <v>546.6</v>
      </c>
    </row>
    <row r="775" spans="3:8">
      <c r="C775" s="16" t="s">
        <v>7</v>
      </c>
      <c r="D775" s="16" t="s">
        <v>8</v>
      </c>
      <c r="E775" s="16" t="s">
        <v>9</v>
      </c>
      <c r="F775" s="17" t="s">
        <v>10</v>
      </c>
      <c r="G775" s="18" t="s">
        <v>11</v>
      </c>
      <c r="H775" s="18" t="s">
        <v>12</v>
      </c>
    </row>
    <row r="776" spans="3:8">
      <c r="C776" s="16"/>
      <c r="D776" s="16"/>
      <c r="E776" s="16"/>
      <c r="F776" s="17"/>
      <c r="G776" s="19"/>
      <c r="H776" s="19"/>
    </row>
    <row r="777" spans="3:8">
      <c r="C777" s="20" t="s">
        <v>13</v>
      </c>
      <c r="D777" s="21" t="s">
        <v>14</v>
      </c>
      <c r="E777" s="22"/>
      <c r="F777" s="23"/>
      <c r="G777" s="24"/>
      <c r="H777" s="25"/>
    </row>
    <row r="778" spans="3:8">
      <c r="C778" s="22" t="s">
        <v>107</v>
      </c>
      <c r="D778" s="54" t="s">
        <v>178</v>
      </c>
      <c r="E778" s="22" t="s">
        <v>29</v>
      </c>
      <c r="F778" s="43">
        <v>1.15675533475437</v>
      </c>
      <c r="G778" s="29">
        <v>78.795486071171297</v>
      </c>
      <c r="H778" s="30">
        <v>91.147098867391051</v>
      </c>
    </row>
    <row r="779" spans="3:8">
      <c r="C779" s="22" t="s">
        <v>27</v>
      </c>
      <c r="D779" s="48" t="s">
        <v>179</v>
      </c>
      <c r="E779" s="22" t="s">
        <v>29</v>
      </c>
      <c r="F779" s="43">
        <v>0.70888580106578203</v>
      </c>
      <c r="G779" s="29">
        <v>45.411750977784656</v>
      </c>
      <c r="H779" s="30">
        <v>32.191745469686687</v>
      </c>
    </row>
    <row r="780" spans="3:8">
      <c r="C780" s="22" t="s">
        <v>107</v>
      </c>
      <c r="D780" s="48" t="s">
        <v>180</v>
      </c>
      <c r="E780" s="81" t="s">
        <v>29</v>
      </c>
      <c r="F780" s="43">
        <v>0.77946202678576604</v>
      </c>
      <c r="G780" s="29">
        <v>72.442078740927272</v>
      </c>
      <c r="H780" s="30">
        <v>56.465849519977226</v>
      </c>
    </row>
    <row r="781" spans="3:8">
      <c r="C781" s="22" t="s">
        <v>27</v>
      </c>
      <c r="D781" s="48" t="s">
        <v>138</v>
      </c>
      <c r="E781" s="22" t="s">
        <v>29</v>
      </c>
      <c r="F781" s="43">
        <v>0.60896746129230495</v>
      </c>
      <c r="G781" s="29">
        <v>74.717676591289091</v>
      </c>
      <c r="H781" s="30">
        <v>45.500633827456802</v>
      </c>
    </row>
    <row r="782" spans="3:8">
      <c r="C782" s="22" t="s">
        <v>107</v>
      </c>
      <c r="D782" s="48" t="s">
        <v>181</v>
      </c>
      <c r="E782" s="22" t="s">
        <v>29</v>
      </c>
      <c r="F782" s="43">
        <v>0.60661784403297603</v>
      </c>
      <c r="G782" s="29">
        <v>106.73171041640566</v>
      </c>
      <c r="H782" s="30">
        <v>64.745360062751928</v>
      </c>
    </row>
    <row r="783" spans="3:8">
      <c r="C783" s="26"/>
      <c r="D783" s="48"/>
      <c r="E783" s="22"/>
      <c r="F783" s="43"/>
      <c r="G783" s="29">
        <v>0</v>
      </c>
      <c r="H783" s="30">
        <v>0</v>
      </c>
    </row>
    <row r="784" spans="3:8">
      <c r="C784" s="26"/>
      <c r="D784" s="48"/>
      <c r="E784" s="22"/>
      <c r="F784" s="57"/>
      <c r="G784" s="29">
        <v>0</v>
      </c>
      <c r="H784" s="30">
        <v>0</v>
      </c>
    </row>
    <row r="785" spans="3:8">
      <c r="C785" s="34" t="s">
        <v>15</v>
      </c>
      <c r="D785" s="34"/>
      <c r="E785" s="34"/>
      <c r="F785" s="35"/>
      <c r="G785" s="34"/>
      <c r="H785" s="36">
        <v>290.05068774726374</v>
      </c>
    </row>
    <row r="786" spans="3:8">
      <c r="C786" s="37" t="s">
        <v>16</v>
      </c>
      <c r="D786" s="38" t="s">
        <v>17</v>
      </c>
      <c r="E786" s="39"/>
      <c r="F786" s="40"/>
      <c r="G786" s="41"/>
      <c r="H786" s="41"/>
    </row>
    <row r="787" spans="3:8">
      <c r="C787" s="22" t="s">
        <v>31</v>
      </c>
      <c r="D787" s="77" t="s">
        <v>114</v>
      </c>
      <c r="E787" s="22" t="s">
        <v>6</v>
      </c>
      <c r="F787" s="78">
        <v>0.48750000000000004</v>
      </c>
      <c r="G787" s="45">
        <v>20.303548142308465</v>
      </c>
      <c r="H787" s="44">
        <v>9.8979797193753782</v>
      </c>
    </row>
    <row r="788" spans="3:8">
      <c r="C788" s="22"/>
      <c r="D788" s="58"/>
      <c r="E788" s="22"/>
      <c r="F788" s="93"/>
      <c r="G788" s="30">
        <v>0</v>
      </c>
      <c r="H788" s="44">
        <v>0</v>
      </c>
    </row>
    <row r="789" spans="3:8">
      <c r="C789" s="22"/>
      <c r="D789" s="58"/>
      <c r="E789" s="22"/>
      <c r="F789" s="94"/>
      <c r="G789" s="30">
        <v>0</v>
      </c>
      <c r="H789" s="44">
        <v>0</v>
      </c>
    </row>
    <row r="790" spans="3:8">
      <c r="C790" s="22"/>
      <c r="D790" s="58"/>
      <c r="E790" s="22"/>
      <c r="F790" s="23"/>
      <c r="G790" s="30">
        <v>0</v>
      </c>
      <c r="H790" s="44">
        <v>0</v>
      </c>
    </row>
    <row r="791" spans="3:8">
      <c r="C791" s="22"/>
      <c r="D791" s="58"/>
      <c r="E791" s="22"/>
      <c r="F791" s="23"/>
      <c r="G791" s="30">
        <v>0</v>
      </c>
      <c r="H791" s="44">
        <v>0</v>
      </c>
    </row>
    <row r="792" spans="3:8">
      <c r="C792" s="22"/>
      <c r="D792" s="58"/>
      <c r="E792" s="22"/>
      <c r="F792" s="23"/>
      <c r="G792" s="30">
        <v>0</v>
      </c>
      <c r="H792" s="44">
        <v>0</v>
      </c>
    </row>
    <row r="793" spans="3:8">
      <c r="C793" s="22"/>
      <c r="D793" s="58"/>
      <c r="E793" s="22"/>
      <c r="F793" s="23"/>
      <c r="G793" s="45">
        <v>0</v>
      </c>
      <c r="H793" s="44">
        <v>0</v>
      </c>
    </row>
    <row r="794" spans="3:8">
      <c r="C794" s="22"/>
      <c r="D794" s="27"/>
      <c r="E794" s="22"/>
      <c r="F794" s="32"/>
      <c r="G794" s="30">
        <v>0</v>
      </c>
      <c r="H794" s="44">
        <v>0</v>
      </c>
    </row>
    <row r="795" spans="3:8">
      <c r="C795" s="34" t="s">
        <v>18</v>
      </c>
      <c r="D795" s="34"/>
      <c r="E795" s="34"/>
      <c r="F795" s="35"/>
      <c r="G795" s="34"/>
      <c r="H795" s="36">
        <v>9.8979797193753782</v>
      </c>
    </row>
    <row r="796" spans="3:8">
      <c r="C796" s="37" t="s">
        <v>19</v>
      </c>
      <c r="D796" s="38" t="s">
        <v>20</v>
      </c>
      <c r="E796" s="39"/>
      <c r="F796" s="46"/>
      <c r="G796" s="47"/>
      <c r="H796" s="47">
        <v>0</v>
      </c>
    </row>
    <row r="797" spans="3:8">
      <c r="C797" s="28" t="s">
        <v>55</v>
      </c>
      <c r="D797" s="48" t="s">
        <v>182</v>
      </c>
      <c r="E797" s="28" t="s">
        <v>6</v>
      </c>
      <c r="F797" s="23">
        <v>1</v>
      </c>
      <c r="G797" s="33">
        <v>74.382045711606693</v>
      </c>
      <c r="H797" s="33">
        <v>74.382045711606693</v>
      </c>
    </row>
    <row r="798" spans="3:8">
      <c r="C798" s="28" t="s">
        <v>55</v>
      </c>
      <c r="D798" s="48" t="s">
        <v>183</v>
      </c>
      <c r="E798" s="28" t="s">
        <v>33</v>
      </c>
      <c r="F798" s="23">
        <v>1</v>
      </c>
      <c r="G798" s="33">
        <v>64.228437968658596</v>
      </c>
      <c r="H798" s="33">
        <v>64.228437968658596</v>
      </c>
    </row>
    <row r="799" spans="3:8">
      <c r="C799" s="28"/>
      <c r="D799" s="48"/>
      <c r="E799" s="28"/>
      <c r="F799" s="23"/>
      <c r="G799" s="33"/>
      <c r="H799" s="33"/>
    </row>
    <row r="800" spans="3:8">
      <c r="C800" s="28"/>
      <c r="D800" s="48"/>
      <c r="E800" s="28"/>
      <c r="F800" s="23"/>
      <c r="G800" s="33"/>
      <c r="H800" s="33"/>
    </row>
    <row r="801" spans="3:8">
      <c r="C801" s="28"/>
      <c r="D801" s="48"/>
      <c r="E801" s="28"/>
      <c r="F801" s="23"/>
      <c r="G801" s="33">
        <v>0</v>
      </c>
      <c r="H801" s="44">
        <v>0</v>
      </c>
    </row>
    <row r="802" spans="3:8">
      <c r="C802" s="28"/>
      <c r="D802" s="48"/>
      <c r="E802" s="28"/>
      <c r="F802" s="23"/>
      <c r="G802" s="33">
        <v>0</v>
      </c>
      <c r="H802" s="44">
        <v>0</v>
      </c>
    </row>
    <row r="803" spans="3:8">
      <c r="C803" s="28"/>
      <c r="D803" s="92"/>
      <c r="E803" s="28"/>
      <c r="F803" s="23"/>
      <c r="G803" s="33">
        <v>0</v>
      </c>
      <c r="H803" s="44">
        <v>0</v>
      </c>
    </row>
    <row r="804" spans="3:8">
      <c r="C804" s="28"/>
      <c r="D804" s="48"/>
      <c r="E804" s="28"/>
      <c r="F804" s="23"/>
      <c r="G804" s="33">
        <v>0</v>
      </c>
      <c r="H804" s="44">
        <v>0</v>
      </c>
    </row>
    <row r="805" spans="3:8">
      <c r="C805" s="34" t="s">
        <v>21</v>
      </c>
      <c r="D805" s="34"/>
      <c r="E805" s="34"/>
      <c r="F805" s="35"/>
      <c r="G805" s="34"/>
      <c r="H805" s="36">
        <v>138.6104836802653</v>
      </c>
    </row>
    <row r="806" spans="3:8" ht="15.75">
      <c r="C806" s="49" t="s">
        <v>22</v>
      </c>
      <c r="D806" s="50"/>
      <c r="E806" s="50"/>
      <c r="F806" s="51"/>
      <c r="G806" s="52"/>
      <c r="H806" s="36">
        <v>438.55915114690441</v>
      </c>
    </row>
    <row r="807" spans="3:8" ht="15.75">
      <c r="C807" s="49" t="s">
        <v>23</v>
      </c>
      <c r="D807" s="50"/>
      <c r="E807" s="50"/>
      <c r="F807" s="51"/>
      <c r="G807" s="52"/>
      <c r="H807" s="53">
        <v>108.03967412959338</v>
      </c>
    </row>
    <row r="808" spans="3:8" ht="15.75">
      <c r="C808" s="49" t="s">
        <v>24</v>
      </c>
      <c r="D808" s="50"/>
      <c r="E808" s="50"/>
      <c r="F808" s="51"/>
      <c r="G808" s="52"/>
      <c r="H808" s="36">
        <v>546.6</v>
      </c>
    </row>
    <row r="809" spans="3:8" ht="15.75">
      <c r="C809" s="84"/>
      <c r="D809" s="84"/>
      <c r="E809" s="84"/>
      <c r="F809" s="85"/>
      <c r="G809" s="84"/>
      <c r="H809" s="86"/>
    </row>
    <row r="810" spans="3:8">
      <c r="C810" s="5" t="s">
        <v>1</v>
      </c>
      <c r="D810" s="6" t="s">
        <v>184</v>
      </c>
      <c r="E810" s="6"/>
      <c r="F810" s="7"/>
      <c r="G810" s="8"/>
      <c r="H810" s="9"/>
    </row>
    <row r="811" spans="3:8">
      <c r="C811" s="10" t="s">
        <v>3</v>
      </c>
      <c r="D811" s="11" t="s">
        <v>185</v>
      </c>
      <c r="E811" s="12"/>
      <c r="F811" s="13" t="s">
        <v>5</v>
      </c>
      <c r="G811" s="14" t="s">
        <v>177</v>
      </c>
      <c r="H811" s="15">
        <v>583.98</v>
      </c>
    </row>
    <row r="812" spans="3:8">
      <c r="C812" s="16" t="s">
        <v>7</v>
      </c>
      <c r="D812" s="16" t="s">
        <v>8</v>
      </c>
      <c r="E812" s="16" t="s">
        <v>9</v>
      </c>
      <c r="F812" s="17" t="s">
        <v>10</v>
      </c>
      <c r="G812" s="18" t="s">
        <v>11</v>
      </c>
      <c r="H812" s="18" t="s">
        <v>12</v>
      </c>
    </row>
    <row r="813" spans="3:8">
      <c r="C813" s="16"/>
      <c r="D813" s="16"/>
      <c r="E813" s="16"/>
      <c r="F813" s="17"/>
      <c r="G813" s="19"/>
      <c r="H813" s="19"/>
    </row>
    <row r="814" spans="3:8">
      <c r="C814" s="20" t="s">
        <v>13</v>
      </c>
      <c r="D814" s="21" t="s">
        <v>14</v>
      </c>
      <c r="E814" s="22"/>
      <c r="F814" s="23"/>
      <c r="G814" s="24"/>
      <c r="H814" s="25"/>
    </row>
    <row r="815" spans="3:8">
      <c r="C815" s="22" t="s">
        <v>107</v>
      </c>
      <c r="D815" s="54" t="s">
        <v>178</v>
      </c>
      <c r="E815" s="22" t="s">
        <v>29</v>
      </c>
      <c r="F815" s="43">
        <v>1.2724308682298</v>
      </c>
      <c r="G815" s="29">
        <v>78.795486071171297</v>
      </c>
      <c r="H815" s="30">
        <v>100.2618087541296</v>
      </c>
    </row>
    <row r="816" spans="3:8">
      <c r="C816" s="22" t="s">
        <v>27</v>
      </c>
      <c r="D816" s="48" t="s">
        <v>179</v>
      </c>
      <c r="E816" s="22" t="s">
        <v>29</v>
      </c>
      <c r="F816" s="43">
        <v>0.77977438117236098</v>
      </c>
      <c r="G816" s="29">
        <v>45.411750977784656</v>
      </c>
      <c r="H816" s="30">
        <v>35.410920016655389</v>
      </c>
    </row>
    <row r="817" spans="3:8">
      <c r="C817" s="22" t="s">
        <v>107</v>
      </c>
      <c r="D817" s="48" t="s">
        <v>180</v>
      </c>
      <c r="E817" s="81" t="s">
        <v>29</v>
      </c>
      <c r="F817" s="43">
        <v>0.85740822946434303</v>
      </c>
      <c r="G817" s="29">
        <v>72.442078740927272</v>
      </c>
      <c r="H817" s="30">
        <v>62.112434471974979</v>
      </c>
    </row>
    <row r="818" spans="3:8">
      <c r="C818" s="22" t="s">
        <v>27</v>
      </c>
      <c r="D818" s="48" t="s">
        <v>138</v>
      </c>
      <c r="E818" s="22" t="s">
        <v>29</v>
      </c>
      <c r="F818" s="43">
        <v>0.66986420742153596</v>
      </c>
      <c r="G818" s="29">
        <v>74.717676591289091</v>
      </c>
      <c r="H818" s="30">
        <v>50.050697210202514</v>
      </c>
    </row>
    <row r="819" spans="3:8">
      <c r="C819" s="22" t="s">
        <v>107</v>
      </c>
      <c r="D819" s="48" t="s">
        <v>181</v>
      </c>
      <c r="E819" s="22" t="s">
        <v>29</v>
      </c>
      <c r="F819" s="43">
        <v>0.66727962843627298</v>
      </c>
      <c r="G819" s="29">
        <v>106.73171041640566</v>
      </c>
      <c r="H819" s="30">
        <v>71.219896069027058</v>
      </c>
    </row>
    <row r="820" spans="3:8">
      <c r="C820" s="26"/>
      <c r="D820" s="48"/>
      <c r="E820" s="22"/>
      <c r="F820" s="43"/>
      <c r="G820" s="29">
        <v>0</v>
      </c>
      <c r="H820" s="30">
        <v>0</v>
      </c>
    </row>
    <row r="821" spans="3:8">
      <c r="C821" s="26"/>
      <c r="D821" s="48"/>
      <c r="E821" s="22"/>
      <c r="F821" s="57"/>
      <c r="G821" s="29">
        <v>0</v>
      </c>
      <c r="H821" s="30">
        <v>0</v>
      </c>
    </row>
    <row r="822" spans="3:8">
      <c r="C822" s="34" t="s">
        <v>15</v>
      </c>
      <c r="D822" s="34"/>
      <c r="E822" s="34"/>
      <c r="F822" s="35"/>
      <c r="G822" s="34"/>
      <c r="H822" s="36">
        <v>319.05575652198957</v>
      </c>
    </row>
    <row r="823" spans="3:8">
      <c r="C823" s="37" t="s">
        <v>16</v>
      </c>
      <c r="D823" s="38" t="s">
        <v>17</v>
      </c>
      <c r="E823" s="39"/>
      <c r="F823" s="40"/>
      <c r="G823" s="41"/>
      <c r="H823" s="41"/>
    </row>
    <row r="824" spans="3:8">
      <c r="C824" s="22" t="s">
        <v>31</v>
      </c>
      <c r="D824" s="77" t="s">
        <v>114</v>
      </c>
      <c r="E824" s="22" t="s">
        <v>6</v>
      </c>
      <c r="F824" s="78">
        <v>0.48750000000000004</v>
      </c>
      <c r="G824" s="45">
        <v>22.333902956539273</v>
      </c>
      <c r="H824" s="44">
        <v>10.887777691312897</v>
      </c>
    </row>
    <row r="825" spans="3:8">
      <c r="C825" s="22"/>
      <c r="D825" s="58"/>
      <c r="E825" s="22"/>
      <c r="F825" s="93"/>
      <c r="G825" s="30">
        <v>0</v>
      </c>
      <c r="H825" s="44">
        <v>0</v>
      </c>
    </row>
    <row r="826" spans="3:8">
      <c r="C826" s="22"/>
      <c r="D826" s="58"/>
      <c r="E826" s="22"/>
      <c r="F826" s="94"/>
      <c r="G826" s="30">
        <v>0</v>
      </c>
      <c r="H826" s="44">
        <v>0</v>
      </c>
    </row>
    <row r="827" spans="3:8">
      <c r="C827" s="22"/>
      <c r="D827" s="58"/>
      <c r="E827" s="22"/>
      <c r="F827" s="23"/>
      <c r="G827" s="30">
        <v>0</v>
      </c>
      <c r="H827" s="44">
        <v>0</v>
      </c>
    </row>
    <row r="828" spans="3:8">
      <c r="C828" s="22"/>
      <c r="D828" s="58"/>
      <c r="E828" s="22"/>
      <c r="F828" s="23"/>
      <c r="G828" s="30">
        <v>0</v>
      </c>
      <c r="H828" s="44">
        <v>0</v>
      </c>
    </row>
    <row r="829" spans="3:8">
      <c r="C829" s="22"/>
      <c r="D829" s="58"/>
      <c r="E829" s="22"/>
      <c r="F829" s="23"/>
      <c r="G829" s="30">
        <v>0</v>
      </c>
      <c r="H829" s="44">
        <v>0</v>
      </c>
    </row>
    <row r="830" spans="3:8">
      <c r="C830" s="22"/>
      <c r="D830" s="58"/>
      <c r="E830" s="22"/>
      <c r="F830" s="23"/>
      <c r="G830" s="45">
        <v>0</v>
      </c>
      <c r="H830" s="44">
        <v>0</v>
      </c>
    </row>
    <row r="831" spans="3:8">
      <c r="C831" s="22"/>
      <c r="D831" s="27"/>
      <c r="E831" s="22"/>
      <c r="F831" s="32"/>
      <c r="G831" s="30">
        <v>0</v>
      </c>
      <c r="H831" s="44">
        <v>0</v>
      </c>
    </row>
    <row r="832" spans="3:8">
      <c r="C832" s="34" t="s">
        <v>18</v>
      </c>
      <c r="D832" s="34"/>
      <c r="E832" s="34"/>
      <c r="F832" s="35"/>
      <c r="G832" s="34"/>
      <c r="H832" s="36">
        <v>10.887777691312897</v>
      </c>
    </row>
    <row r="833" spans="3:8">
      <c r="C833" s="37" t="s">
        <v>19</v>
      </c>
      <c r="D833" s="38" t="s">
        <v>20</v>
      </c>
      <c r="E833" s="39"/>
      <c r="F833" s="46"/>
      <c r="G833" s="47"/>
      <c r="H833" s="47">
        <v>0</v>
      </c>
    </row>
    <row r="834" spans="3:8">
      <c r="C834" s="28" t="s">
        <v>55</v>
      </c>
      <c r="D834" s="48" t="s">
        <v>182</v>
      </c>
      <c r="E834" s="28" t="s">
        <v>6</v>
      </c>
      <c r="F834" s="23">
        <v>1</v>
      </c>
      <c r="G834" s="33">
        <v>74.382045711606693</v>
      </c>
      <c r="H834" s="33">
        <v>74.382045711606693</v>
      </c>
    </row>
    <row r="835" spans="3:8">
      <c r="C835" s="28" t="s">
        <v>55</v>
      </c>
      <c r="D835" s="48" t="s">
        <v>183</v>
      </c>
      <c r="E835" s="28" t="s">
        <v>33</v>
      </c>
      <c r="F835" s="23">
        <v>1</v>
      </c>
      <c r="G835" s="33">
        <v>64.228437968658596</v>
      </c>
      <c r="H835" s="33">
        <v>64.228437968658596</v>
      </c>
    </row>
    <row r="836" spans="3:8">
      <c r="C836" s="28"/>
      <c r="D836" s="48"/>
      <c r="E836" s="28"/>
      <c r="F836" s="23"/>
      <c r="G836" s="33"/>
      <c r="H836" s="33"/>
    </row>
    <row r="837" spans="3:8">
      <c r="C837" s="28"/>
      <c r="D837" s="48"/>
      <c r="E837" s="28"/>
      <c r="F837" s="23"/>
      <c r="G837" s="33"/>
      <c r="H837" s="33"/>
    </row>
    <row r="838" spans="3:8">
      <c r="C838" s="28"/>
      <c r="D838" s="48"/>
      <c r="E838" s="28"/>
      <c r="F838" s="23"/>
      <c r="G838" s="33">
        <v>0</v>
      </c>
      <c r="H838" s="44">
        <v>0</v>
      </c>
    </row>
    <row r="839" spans="3:8">
      <c r="C839" s="28"/>
      <c r="D839" s="48"/>
      <c r="E839" s="28"/>
      <c r="F839" s="23"/>
      <c r="G839" s="33">
        <v>0</v>
      </c>
      <c r="H839" s="44">
        <v>0</v>
      </c>
    </row>
    <row r="840" spans="3:8">
      <c r="C840" s="28"/>
      <c r="D840" s="92"/>
      <c r="E840" s="28"/>
      <c r="F840" s="23"/>
      <c r="G840" s="33">
        <v>0</v>
      </c>
      <c r="H840" s="44">
        <v>0</v>
      </c>
    </row>
    <row r="841" spans="3:8">
      <c r="C841" s="28"/>
      <c r="D841" s="48"/>
      <c r="E841" s="28"/>
      <c r="F841" s="23"/>
      <c r="G841" s="33">
        <v>0</v>
      </c>
      <c r="H841" s="44">
        <v>0</v>
      </c>
    </row>
    <row r="842" spans="3:8">
      <c r="C842" s="34" t="s">
        <v>21</v>
      </c>
      <c r="D842" s="34"/>
      <c r="E842" s="34"/>
      <c r="F842" s="35"/>
      <c r="G842" s="34"/>
      <c r="H842" s="36">
        <v>138.6104836802653</v>
      </c>
    </row>
    <row r="843" spans="3:8" ht="15.75">
      <c r="C843" s="49" t="s">
        <v>22</v>
      </c>
      <c r="D843" s="50"/>
      <c r="E843" s="50"/>
      <c r="F843" s="51"/>
      <c r="G843" s="52"/>
      <c r="H843" s="36">
        <v>468.55401789356779</v>
      </c>
    </row>
    <row r="844" spans="3:8" ht="15.75">
      <c r="C844" s="49" t="s">
        <v>23</v>
      </c>
      <c r="D844" s="50"/>
      <c r="E844" s="50"/>
      <c r="F844" s="51"/>
      <c r="G844" s="52"/>
      <c r="H844" s="53">
        <v>115.4289524524725</v>
      </c>
    </row>
    <row r="845" spans="3:8" ht="15.75">
      <c r="C845" s="49" t="s">
        <v>24</v>
      </c>
      <c r="D845" s="50"/>
      <c r="E845" s="50"/>
      <c r="F845" s="51"/>
      <c r="G845" s="52"/>
      <c r="H845" s="36">
        <v>583.98</v>
      </c>
    </row>
    <row r="846" spans="3:8" ht="15.75">
      <c r="C846" s="84"/>
      <c r="D846" s="84"/>
      <c r="E846" s="84"/>
      <c r="F846" s="85"/>
      <c r="G846" s="84"/>
      <c r="H846" s="86"/>
    </row>
    <row r="847" spans="3:8">
      <c r="C847" s="5" t="s">
        <v>1</v>
      </c>
      <c r="D847" s="6" t="s">
        <v>186</v>
      </c>
      <c r="E847" s="6"/>
      <c r="F847" s="7"/>
      <c r="G847" s="8"/>
      <c r="H847" s="9"/>
    </row>
    <row r="848" spans="3:8">
      <c r="C848" s="10" t="s">
        <v>3</v>
      </c>
      <c r="D848" s="11" t="s">
        <v>187</v>
      </c>
      <c r="E848" s="12"/>
      <c r="F848" s="13" t="s">
        <v>5</v>
      </c>
      <c r="G848" s="14" t="s">
        <v>177</v>
      </c>
      <c r="H848" s="15">
        <v>583.98</v>
      </c>
    </row>
    <row r="849" spans="3:8">
      <c r="C849" s="16" t="s">
        <v>7</v>
      </c>
      <c r="D849" s="16" t="s">
        <v>8</v>
      </c>
      <c r="E849" s="16" t="s">
        <v>9</v>
      </c>
      <c r="F849" s="17" t="s">
        <v>10</v>
      </c>
      <c r="G849" s="18" t="s">
        <v>11</v>
      </c>
      <c r="H849" s="18" t="s">
        <v>12</v>
      </c>
    </row>
    <row r="850" spans="3:8">
      <c r="C850" s="16"/>
      <c r="D850" s="16"/>
      <c r="E850" s="16"/>
      <c r="F850" s="17"/>
      <c r="G850" s="19"/>
      <c r="H850" s="19"/>
    </row>
    <row r="851" spans="3:8">
      <c r="C851" s="20" t="s">
        <v>13</v>
      </c>
      <c r="D851" s="21" t="s">
        <v>14</v>
      </c>
      <c r="E851" s="22"/>
      <c r="F851" s="23"/>
      <c r="G851" s="24"/>
      <c r="H851" s="25"/>
    </row>
    <row r="852" spans="3:8">
      <c r="C852" s="22" t="s">
        <v>107</v>
      </c>
      <c r="D852" s="54" t="s">
        <v>178</v>
      </c>
      <c r="E852" s="22" t="s">
        <v>29</v>
      </c>
      <c r="F852" s="43">
        <v>1.2724308682298</v>
      </c>
      <c r="G852" s="29">
        <v>78.795486071171297</v>
      </c>
      <c r="H852" s="30">
        <v>100.2618087541296</v>
      </c>
    </row>
    <row r="853" spans="3:8">
      <c r="C853" s="22" t="s">
        <v>27</v>
      </c>
      <c r="D853" s="48" t="s">
        <v>179</v>
      </c>
      <c r="E853" s="22" t="s">
        <v>29</v>
      </c>
      <c r="F853" s="43">
        <v>0.77977438117236098</v>
      </c>
      <c r="G853" s="29">
        <v>45.411750977784656</v>
      </c>
      <c r="H853" s="30">
        <v>35.410920016655389</v>
      </c>
    </row>
    <row r="854" spans="3:8">
      <c r="C854" s="22" t="s">
        <v>107</v>
      </c>
      <c r="D854" s="48" t="s">
        <v>180</v>
      </c>
      <c r="E854" s="81" t="s">
        <v>29</v>
      </c>
      <c r="F854" s="43">
        <v>0.85740822946434303</v>
      </c>
      <c r="G854" s="29">
        <v>72.442078740927272</v>
      </c>
      <c r="H854" s="30">
        <v>62.112434471974979</v>
      </c>
    </row>
    <row r="855" spans="3:8">
      <c r="C855" s="22" t="s">
        <v>27</v>
      </c>
      <c r="D855" s="48" t="s">
        <v>138</v>
      </c>
      <c r="E855" s="22" t="s">
        <v>29</v>
      </c>
      <c r="F855" s="43">
        <v>0.66986420742153596</v>
      </c>
      <c r="G855" s="29">
        <v>74.717676591289091</v>
      </c>
      <c r="H855" s="30">
        <v>50.050697210202514</v>
      </c>
    </row>
    <row r="856" spans="3:8">
      <c r="C856" s="22" t="s">
        <v>107</v>
      </c>
      <c r="D856" s="48" t="s">
        <v>181</v>
      </c>
      <c r="E856" s="22" t="s">
        <v>29</v>
      </c>
      <c r="F856" s="43">
        <v>0.66727962843627298</v>
      </c>
      <c r="G856" s="29">
        <v>106.73171041640566</v>
      </c>
      <c r="H856" s="30">
        <v>71.219896069027058</v>
      </c>
    </row>
    <row r="857" spans="3:8">
      <c r="C857" s="26"/>
      <c r="D857" s="48"/>
      <c r="E857" s="22"/>
      <c r="F857" s="43"/>
      <c r="G857" s="29">
        <v>0</v>
      </c>
      <c r="H857" s="30">
        <v>0</v>
      </c>
    </row>
    <row r="858" spans="3:8">
      <c r="C858" s="26"/>
      <c r="D858" s="48"/>
      <c r="E858" s="22"/>
      <c r="F858" s="57"/>
      <c r="G858" s="29">
        <v>0</v>
      </c>
      <c r="H858" s="30">
        <v>0</v>
      </c>
    </row>
    <row r="859" spans="3:8">
      <c r="C859" s="34" t="s">
        <v>15</v>
      </c>
      <c r="D859" s="34"/>
      <c r="E859" s="34"/>
      <c r="F859" s="35"/>
      <c r="G859" s="34"/>
      <c r="H859" s="36">
        <v>319.05575652198957</v>
      </c>
    </row>
    <row r="860" spans="3:8">
      <c r="C860" s="37" t="s">
        <v>16</v>
      </c>
      <c r="D860" s="38" t="s">
        <v>17</v>
      </c>
      <c r="E860" s="39"/>
      <c r="F860" s="40"/>
      <c r="G860" s="41"/>
      <c r="H860" s="41"/>
    </row>
    <row r="861" spans="3:8">
      <c r="C861" s="22" t="s">
        <v>31</v>
      </c>
      <c r="D861" s="77" t="s">
        <v>114</v>
      </c>
      <c r="E861" s="22" t="s">
        <v>6</v>
      </c>
      <c r="F861" s="78">
        <v>0.48750000000000004</v>
      </c>
      <c r="G861" s="45">
        <v>22.333902956539273</v>
      </c>
      <c r="H861" s="44">
        <v>10.887777691312897</v>
      </c>
    </row>
    <row r="862" spans="3:8">
      <c r="C862" s="22"/>
      <c r="D862" s="58"/>
      <c r="E862" s="22"/>
      <c r="F862" s="93"/>
      <c r="G862" s="30">
        <v>0</v>
      </c>
      <c r="H862" s="44">
        <v>0</v>
      </c>
    </row>
    <row r="863" spans="3:8">
      <c r="C863" s="22"/>
      <c r="D863" s="58"/>
      <c r="E863" s="22"/>
      <c r="F863" s="94"/>
      <c r="G863" s="30">
        <v>0</v>
      </c>
      <c r="H863" s="44">
        <v>0</v>
      </c>
    </row>
    <row r="864" spans="3:8">
      <c r="C864" s="22"/>
      <c r="D864" s="58"/>
      <c r="E864" s="22"/>
      <c r="F864" s="23"/>
      <c r="G864" s="30">
        <v>0</v>
      </c>
      <c r="H864" s="44">
        <v>0</v>
      </c>
    </row>
    <row r="865" spans="3:8">
      <c r="C865" s="22"/>
      <c r="D865" s="58"/>
      <c r="E865" s="22"/>
      <c r="F865" s="23"/>
      <c r="G865" s="30">
        <v>0</v>
      </c>
      <c r="H865" s="44">
        <v>0</v>
      </c>
    </row>
    <row r="866" spans="3:8">
      <c r="C866" s="22"/>
      <c r="D866" s="58"/>
      <c r="E866" s="22"/>
      <c r="F866" s="23"/>
      <c r="G866" s="30">
        <v>0</v>
      </c>
      <c r="H866" s="44">
        <v>0</v>
      </c>
    </row>
    <row r="867" spans="3:8">
      <c r="C867" s="22"/>
      <c r="D867" s="58"/>
      <c r="E867" s="22"/>
      <c r="F867" s="23"/>
      <c r="G867" s="45">
        <v>0</v>
      </c>
      <c r="H867" s="44">
        <v>0</v>
      </c>
    </row>
    <row r="868" spans="3:8">
      <c r="C868" s="22"/>
      <c r="D868" s="27"/>
      <c r="E868" s="22"/>
      <c r="F868" s="32"/>
      <c r="G868" s="30">
        <v>0</v>
      </c>
      <c r="H868" s="44">
        <v>0</v>
      </c>
    </row>
    <row r="869" spans="3:8">
      <c r="C869" s="34" t="s">
        <v>18</v>
      </c>
      <c r="D869" s="34"/>
      <c r="E869" s="34"/>
      <c r="F869" s="35"/>
      <c r="G869" s="34"/>
      <c r="H869" s="36">
        <v>10.887777691312897</v>
      </c>
    </row>
    <row r="870" spans="3:8">
      <c r="C870" s="37" t="s">
        <v>19</v>
      </c>
      <c r="D870" s="38" t="s">
        <v>20</v>
      </c>
      <c r="E870" s="39"/>
      <c r="F870" s="46"/>
      <c r="G870" s="47"/>
      <c r="H870" s="47">
        <v>0</v>
      </c>
    </row>
    <row r="871" spans="3:8">
      <c r="C871" s="28" t="s">
        <v>55</v>
      </c>
      <c r="D871" s="48" t="s">
        <v>182</v>
      </c>
      <c r="E871" s="28" t="s">
        <v>6</v>
      </c>
      <c r="F871" s="23">
        <v>1</v>
      </c>
      <c r="G871" s="33">
        <v>74.382045711606693</v>
      </c>
      <c r="H871" s="33">
        <v>74.382045711606693</v>
      </c>
    </row>
    <row r="872" spans="3:8">
      <c r="C872" s="28" t="s">
        <v>55</v>
      </c>
      <c r="D872" s="48" t="s">
        <v>183</v>
      </c>
      <c r="E872" s="28" t="s">
        <v>33</v>
      </c>
      <c r="F872" s="23">
        <v>1</v>
      </c>
      <c r="G872" s="33">
        <v>64.228437968658596</v>
      </c>
      <c r="H872" s="33">
        <v>64.228437968658596</v>
      </c>
    </row>
    <row r="873" spans="3:8">
      <c r="C873" s="28"/>
      <c r="D873" s="48"/>
      <c r="E873" s="28"/>
      <c r="F873" s="23"/>
      <c r="G873" s="33"/>
      <c r="H873" s="33"/>
    </row>
    <row r="874" spans="3:8">
      <c r="C874" s="28"/>
      <c r="D874" s="48"/>
      <c r="E874" s="28"/>
      <c r="F874" s="23"/>
      <c r="G874" s="33"/>
      <c r="H874" s="33"/>
    </row>
    <row r="875" spans="3:8">
      <c r="C875" s="28"/>
      <c r="D875" s="48"/>
      <c r="E875" s="28"/>
      <c r="F875" s="23"/>
      <c r="G875" s="33">
        <v>0</v>
      </c>
      <c r="H875" s="44">
        <v>0</v>
      </c>
    </row>
    <row r="876" spans="3:8">
      <c r="C876" s="28"/>
      <c r="D876" s="48"/>
      <c r="E876" s="28"/>
      <c r="F876" s="23"/>
      <c r="G876" s="33">
        <v>0</v>
      </c>
      <c r="H876" s="44">
        <v>0</v>
      </c>
    </row>
    <row r="877" spans="3:8">
      <c r="C877" s="28"/>
      <c r="D877" s="92"/>
      <c r="E877" s="28"/>
      <c r="F877" s="23"/>
      <c r="G877" s="33">
        <v>0</v>
      </c>
      <c r="H877" s="44">
        <v>0</v>
      </c>
    </row>
    <row r="878" spans="3:8">
      <c r="C878" s="28"/>
      <c r="D878" s="48"/>
      <c r="E878" s="28"/>
      <c r="F878" s="23"/>
      <c r="G878" s="33">
        <v>0</v>
      </c>
      <c r="H878" s="44">
        <v>0</v>
      </c>
    </row>
    <row r="879" spans="3:8">
      <c r="C879" s="34" t="s">
        <v>21</v>
      </c>
      <c r="D879" s="34"/>
      <c r="E879" s="34"/>
      <c r="F879" s="35"/>
      <c r="G879" s="34"/>
      <c r="H879" s="36">
        <v>138.6104836802653</v>
      </c>
    </row>
    <row r="880" spans="3:8" ht="15.75">
      <c r="C880" s="49" t="s">
        <v>22</v>
      </c>
      <c r="D880" s="50"/>
      <c r="E880" s="50"/>
      <c r="F880" s="51"/>
      <c r="G880" s="52"/>
      <c r="H880" s="36">
        <v>468.55401789356779</v>
      </c>
    </row>
    <row r="881" spans="3:8" ht="15.75">
      <c r="C881" s="49" t="s">
        <v>23</v>
      </c>
      <c r="D881" s="50"/>
      <c r="E881" s="50"/>
      <c r="F881" s="51"/>
      <c r="G881" s="52"/>
      <c r="H881" s="53">
        <v>115.4289524524725</v>
      </c>
    </row>
    <row r="882" spans="3:8" ht="15.75">
      <c r="C882" s="49" t="s">
        <v>24</v>
      </c>
      <c r="D882" s="50"/>
      <c r="E882" s="50"/>
      <c r="F882" s="51"/>
      <c r="G882" s="52"/>
      <c r="H882" s="36">
        <v>583.98</v>
      </c>
    </row>
    <row r="883" spans="3:8" ht="15.75">
      <c r="C883" s="84"/>
      <c r="D883" s="84"/>
      <c r="E883" s="84"/>
      <c r="F883" s="85"/>
      <c r="G883" s="84"/>
      <c r="H883" s="86"/>
    </row>
    <row r="884" spans="3:8">
      <c r="C884" s="5" t="s">
        <v>1</v>
      </c>
      <c r="D884" s="6" t="s">
        <v>188</v>
      </c>
      <c r="E884" s="6"/>
      <c r="F884" s="7"/>
      <c r="G884" s="8"/>
      <c r="H884" s="9"/>
    </row>
    <row r="885" spans="3:8">
      <c r="C885" s="10" t="s">
        <v>3</v>
      </c>
      <c r="D885" s="11" t="s">
        <v>189</v>
      </c>
      <c r="E885" s="12"/>
      <c r="F885" s="13" t="s">
        <v>5</v>
      </c>
      <c r="G885" s="14" t="s">
        <v>177</v>
      </c>
      <c r="H885" s="15">
        <v>625.11</v>
      </c>
    </row>
    <row r="886" spans="3:8">
      <c r="C886" s="16" t="s">
        <v>7</v>
      </c>
      <c r="D886" s="16" t="s">
        <v>8</v>
      </c>
      <c r="E886" s="16" t="s">
        <v>9</v>
      </c>
      <c r="F886" s="17" t="s">
        <v>10</v>
      </c>
      <c r="G886" s="18" t="s">
        <v>11</v>
      </c>
      <c r="H886" s="18" t="s">
        <v>12</v>
      </c>
    </row>
    <row r="887" spans="3:8">
      <c r="C887" s="16"/>
      <c r="D887" s="16"/>
      <c r="E887" s="16"/>
      <c r="F887" s="17"/>
      <c r="G887" s="19"/>
      <c r="H887" s="19"/>
    </row>
    <row r="888" spans="3:8">
      <c r="C888" s="20" t="s">
        <v>13</v>
      </c>
      <c r="D888" s="21" t="s">
        <v>14</v>
      </c>
      <c r="E888" s="22"/>
      <c r="F888" s="23"/>
      <c r="G888" s="24"/>
      <c r="H888" s="25"/>
    </row>
    <row r="889" spans="3:8">
      <c r="C889" s="22" t="s">
        <v>107</v>
      </c>
      <c r="D889" s="54" t="s">
        <v>178</v>
      </c>
      <c r="E889" s="22" t="s">
        <v>29</v>
      </c>
      <c r="F889" s="43">
        <v>1.3996739550527899</v>
      </c>
      <c r="G889" s="29">
        <v>78.795486071171297</v>
      </c>
      <c r="H889" s="30">
        <v>110.28798962954335</v>
      </c>
    </row>
    <row r="890" spans="3:8">
      <c r="C890" s="22" t="s">
        <v>27</v>
      </c>
      <c r="D890" s="48" t="s">
        <v>179</v>
      </c>
      <c r="E890" s="22" t="s">
        <v>29</v>
      </c>
      <c r="F890" s="43">
        <v>0.85775181928959698</v>
      </c>
      <c r="G890" s="29">
        <v>45.411750977784656</v>
      </c>
      <c r="H890" s="30">
        <v>38.952012018320922</v>
      </c>
    </row>
    <row r="891" spans="3:8">
      <c r="C891" s="22" t="s">
        <v>107</v>
      </c>
      <c r="D891" s="48" t="s">
        <v>180</v>
      </c>
      <c r="E891" s="81" t="s">
        <v>29</v>
      </c>
      <c r="F891" s="43">
        <v>0.94314905241077895</v>
      </c>
      <c r="G891" s="29">
        <v>72.442078740927272</v>
      </c>
      <c r="H891" s="30">
        <v>68.323677919172596</v>
      </c>
    </row>
    <row r="892" spans="3:8">
      <c r="C892" s="22" t="s">
        <v>27</v>
      </c>
      <c r="D892" s="48" t="s">
        <v>138</v>
      </c>
      <c r="E892" s="22" t="s">
        <v>29</v>
      </c>
      <c r="F892" s="43">
        <v>0.73685062816368896</v>
      </c>
      <c r="G892" s="29">
        <v>74.717676591289091</v>
      </c>
      <c r="H892" s="30">
        <v>55.055766931222728</v>
      </c>
    </row>
    <row r="893" spans="3:8">
      <c r="C893" s="22" t="s">
        <v>107</v>
      </c>
      <c r="D893" s="48" t="s">
        <v>181</v>
      </c>
      <c r="E893" s="22" t="s">
        <v>29</v>
      </c>
      <c r="F893" s="43">
        <v>0.73400759127990001</v>
      </c>
      <c r="G893" s="29">
        <v>106.73171041640566</v>
      </c>
      <c r="H893" s="30">
        <v>78.341885675929731</v>
      </c>
    </row>
    <row r="894" spans="3:8">
      <c r="C894" s="26"/>
      <c r="D894" s="48"/>
      <c r="E894" s="22"/>
      <c r="F894" s="43"/>
      <c r="G894" s="29">
        <v>0</v>
      </c>
      <c r="H894" s="30">
        <v>0</v>
      </c>
    </row>
    <row r="895" spans="3:8">
      <c r="C895" s="26"/>
      <c r="D895" s="48"/>
      <c r="E895" s="22"/>
      <c r="F895" s="57"/>
      <c r="G895" s="29">
        <v>0</v>
      </c>
      <c r="H895" s="30">
        <v>0</v>
      </c>
    </row>
    <row r="896" spans="3:8">
      <c r="C896" s="34" t="s">
        <v>15</v>
      </c>
      <c r="D896" s="34"/>
      <c r="E896" s="34"/>
      <c r="F896" s="35"/>
      <c r="G896" s="34"/>
      <c r="H896" s="36">
        <v>350.96133217418929</v>
      </c>
    </row>
    <row r="897" spans="3:8">
      <c r="C897" s="37" t="s">
        <v>16</v>
      </c>
      <c r="D897" s="38" t="s">
        <v>17</v>
      </c>
      <c r="E897" s="39"/>
      <c r="F897" s="40"/>
      <c r="G897" s="41"/>
      <c r="H897" s="41"/>
    </row>
    <row r="898" spans="3:8">
      <c r="C898" s="22" t="s">
        <v>31</v>
      </c>
      <c r="D898" s="77" t="s">
        <v>114</v>
      </c>
      <c r="E898" s="22" t="s">
        <v>6</v>
      </c>
      <c r="F898" s="78">
        <v>0.48750000000000004</v>
      </c>
      <c r="G898" s="45">
        <v>24.567293252193252</v>
      </c>
      <c r="H898" s="44">
        <v>11.976555460444212</v>
      </c>
    </row>
    <row r="899" spans="3:8">
      <c r="C899" s="22"/>
      <c r="D899" s="58"/>
      <c r="E899" s="22"/>
      <c r="F899" s="93"/>
      <c r="G899" s="30">
        <v>0</v>
      </c>
      <c r="H899" s="44">
        <v>0</v>
      </c>
    </row>
    <row r="900" spans="3:8">
      <c r="C900" s="22"/>
      <c r="D900" s="58"/>
      <c r="E900" s="22"/>
      <c r="F900" s="94"/>
      <c r="G900" s="30">
        <v>0</v>
      </c>
      <c r="H900" s="44">
        <v>0</v>
      </c>
    </row>
    <row r="901" spans="3:8">
      <c r="C901" s="22"/>
      <c r="D901" s="58"/>
      <c r="E901" s="22"/>
      <c r="F901" s="23"/>
      <c r="G901" s="30">
        <v>0</v>
      </c>
      <c r="H901" s="44">
        <v>0</v>
      </c>
    </row>
    <row r="902" spans="3:8">
      <c r="C902" s="22"/>
      <c r="D902" s="58"/>
      <c r="E902" s="22"/>
      <c r="F902" s="23"/>
      <c r="G902" s="30">
        <v>0</v>
      </c>
      <c r="H902" s="44">
        <v>0</v>
      </c>
    </row>
    <row r="903" spans="3:8">
      <c r="C903" s="22"/>
      <c r="D903" s="58"/>
      <c r="E903" s="22"/>
      <c r="F903" s="23"/>
      <c r="G903" s="30">
        <v>0</v>
      </c>
      <c r="H903" s="44">
        <v>0</v>
      </c>
    </row>
    <row r="904" spans="3:8">
      <c r="C904" s="22"/>
      <c r="D904" s="58"/>
      <c r="E904" s="22"/>
      <c r="F904" s="23"/>
      <c r="G904" s="45">
        <v>0</v>
      </c>
      <c r="H904" s="44">
        <v>0</v>
      </c>
    </row>
    <row r="905" spans="3:8">
      <c r="C905" s="22"/>
      <c r="D905" s="27"/>
      <c r="E905" s="22"/>
      <c r="F905" s="32"/>
      <c r="G905" s="30">
        <v>0</v>
      </c>
      <c r="H905" s="44">
        <v>0</v>
      </c>
    </row>
    <row r="906" spans="3:8">
      <c r="C906" s="34" t="s">
        <v>18</v>
      </c>
      <c r="D906" s="34"/>
      <c r="E906" s="34"/>
      <c r="F906" s="35"/>
      <c r="G906" s="34"/>
      <c r="H906" s="36">
        <v>11.976555460444212</v>
      </c>
    </row>
    <row r="907" spans="3:8">
      <c r="C907" s="37" t="s">
        <v>19</v>
      </c>
      <c r="D907" s="38" t="s">
        <v>20</v>
      </c>
      <c r="E907" s="39"/>
      <c r="F907" s="46"/>
      <c r="G907" s="47"/>
      <c r="H907" s="47">
        <v>0</v>
      </c>
    </row>
    <row r="908" spans="3:8">
      <c r="C908" s="28" t="s">
        <v>55</v>
      </c>
      <c r="D908" s="48" t="s">
        <v>182</v>
      </c>
      <c r="E908" s="28" t="s">
        <v>6</v>
      </c>
      <c r="F908" s="23">
        <v>1</v>
      </c>
      <c r="G908" s="33">
        <v>74.382045711606693</v>
      </c>
      <c r="H908" s="33">
        <v>74.382045711606693</v>
      </c>
    </row>
    <row r="909" spans="3:8">
      <c r="C909" s="28" t="s">
        <v>55</v>
      </c>
      <c r="D909" s="48" t="s">
        <v>183</v>
      </c>
      <c r="E909" s="28" t="s">
        <v>33</v>
      </c>
      <c r="F909" s="23">
        <v>1</v>
      </c>
      <c r="G909" s="33">
        <v>64.228437968658596</v>
      </c>
      <c r="H909" s="33">
        <v>64.228437968658596</v>
      </c>
    </row>
    <row r="910" spans="3:8">
      <c r="C910" s="28"/>
      <c r="D910" s="48"/>
      <c r="E910" s="28"/>
      <c r="F910" s="23"/>
      <c r="G910" s="33"/>
      <c r="H910" s="33"/>
    </row>
    <row r="911" spans="3:8">
      <c r="C911" s="28"/>
      <c r="D911" s="48"/>
      <c r="E911" s="28"/>
      <c r="F911" s="23"/>
      <c r="G911" s="33"/>
      <c r="H911" s="33"/>
    </row>
    <row r="912" spans="3:8">
      <c r="C912" s="28"/>
      <c r="D912" s="48"/>
      <c r="E912" s="28"/>
      <c r="F912" s="23"/>
      <c r="G912" s="33">
        <v>0</v>
      </c>
      <c r="H912" s="44">
        <v>0</v>
      </c>
    </row>
    <row r="913" spans="3:8">
      <c r="C913" s="28"/>
      <c r="D913" s="48"/>
      <c r="E913" s="28"/>
      <c r="F913" s="23"/>
      <c r="G913" s="33">
        <v>0</v>
      </c>
      <c r="H913" s="44">
        <v>0</v>
      </c>
    </row>
    <row r="914" spans="3:8">
      <c r="C914" s="28"/>
      <c r="D914" s="92"/>
      <c r="E914" s="28"/>
      <c r="F914" s="23"/>
      <c r="G914" s="33">
        <v>0</v>
      </c>
      <c r="H914" s="44">
        <v>0</v>
      </c>
    </row>
    <row r="915" spans="3:8">
      <c r="C915" s="28"/>
      <c r="D915" s="48"/>
      <c r="E915" s="28"/>
      <c r="F915" s="23"/>
      <c r="G915" s="33">
        <v>0</v>
      </c>
      <c r="H915" s="44">
        <v>0</v>
      </c>
    </row>
    <row r="916" spans="3:8">
      <c r="C916" s="34" t="s">
        <v>21</v>
      </c>
      <c r="D916" s="34"/>
      <c r="E916" s="34"/>
      <c r="F916" s="35"/>
      <c r="G916" s="34"/>
      <c r="H916" s="36">
        <v>138.6104836802653</v>
      </c>
    </row>
    <row r="917" spans="3:8" ht="15.75">
      <c r="C917" s="49" t="s">
        <v>22</v>
      </c>
      <c r="D917" s="50"/>
      <c r="E917" s="50"/>
      <c r="F917" s="51"/>
      <c r="G917" s="52"/>
      <c r="H917" s="36">
        <v>501.54837131489882</v>
      </c>
    </row>
    <row r="918" spans="3:8" ht="15.75">
      <c r="C918" s="49" t="s">
        <v>23</v>
      </c>
      <c r="D918" s="50"/>
      <c r="E918" s="50"/>
      <c r="F918" s="51"/>
      <c r="G918" s="52"/>
      <c r="H918" s="53">
        <v>123.55715860763986</v>
      </c>
    </row>
    <row r="919" spans="3:8" ht="15.75">
      <c r="C919" s="49" t="s">
        <v>24</v>
      </c>
      <c r="D919" s="50"/>
      <c r="E919" s="50"/>
      <c r="F919" s="51"/>
      <c r="G919" s="52"/>
      <c r="H919" s="36">
        <v>625.11</v>
      </c>
    </row>
    <row r="920" spans="3:8" ht="15.75">
      <c r="C920" s="84"/>
      <c r="D920" s="84"/>
      <c r="E920" s="84"/>
      <c r="F920" s="85"/>
      <c r="G920" s="84"/>
      <c r="H920" s="86"/>
    </row>
    <row r="921" spans="3:8">
      <c r="C921" s="5" t="s">
        <v>1</v>
      </c>
      <c r="D921" s="6" t="s">
        <v>190</v>
      </c>
      <c r="E921" s="6"/>
      <c r="F921" s="7"/>
      <c r="G921" s="8"/>
      <c r="H921" s="9"/>
    </row>
    <row r="922" spans="3:8">
      <c r="C922" s="10" t="s">
        <v>3</v>
      </c>
      <c r="D922" s="11" t="s">
        <v>191</v>
      </c>
      <c r="E922" s="12"/>
      <c r="F922" s="13" t="s">
        <v>5</v>
      </c>
      <c r="G922" s="14" t="s">
        <v>177</v>
      </c>
      <c r="H922" s="15">
        <v>670.34</v>
      </c>
    </row>
    <row r="923" spans="3:8">
      <c r="C923" s="16" t="s">
        <v>7</v>
      </c>
      <c r="D923" s="16" t="s">
        <v>8</v>
      </c>
      <c r="E923" s="16" t="s">
        <v>9</v>
      </c>
      <c r="F923" s="17" t="s">
        <v>10</v>
      </c>
      <c r="G923" s="18" t="s">
        <v>11</v>
      </c>
      <c r="H923" s="18" t="s">
        <v>12</v>
      </c>
    </row>
    <row r="924" spans="3:8">
      <c r="C924" s="16"/>
      <c r="D924" s="16"/>
      <c r="E924" s="16"/>
      <c r="F924" s="17"/>
      <c r="G924" s="19"/>
      <c r="H924" s="19"/>
    </row>
    <row r="925" spans="3:8">
      <c r="C925" s="20" t="s">
        <v>13</v>
      </c>
      <c r="D925" s="21" t="s">
        <v>14</v>
      </c>
      <c r="E925" s="22"/>
      <c r="F925" s="23"/>
      <c r="G925" s="24"/>
      <c r="H925" s="25"/>
    </row>
    <row r="926" spans="3:8">
      <c r="C926" s="22" t="s">
        <v>107</v>
      </c>
      <c r="D926" s="54" t="s">
        <v>178</v>
      </c>
      <c r="E926" s="22" t="s">
        <v>29</v>
      </c>
      <c r="F926" s="43">
        <v>1.53964135055806</v>
      </c>
      <c r="G926" s="29">
        <v>78.795486071171297</v>
      </c>
      <c r="H926" s="30">
        <v>121.31678859249698</v>
      </c>
    </row>
    <row r="927" spans="3:8">
      <c r="C927" s="22" t="s">
        <v>27</v>
      </c>
      <c r="D927" s="48" t="s">
        <v>179</v>
      </c>
      <c r="E927" s="22" t="s">
        <v>29</v>
      </c>
      <c r="F927" s="43">
        <v>0.94352700121855104</v>
      </c>
      <c r="G927" s="29">
        <v>45.411750977784656</v>
      </c>
      <c r="H927" s="30">
        <v>42.84721322015276</v>
      </c>
    </row>
    <row r="928" spans="3:8">
      <c r="C928" s="22" t="s">
        <v>107</v>
      </c>
      <c r="D928" s="48" t="s">
        <v>180</v>
      </c>
      <c r="E928" s="81" t="s">
        <v>29</v>
      </c>
      <c r="F928" s="43">
        <v>1.0374639576518601</v>
      </c>
      <c r="G928" s="29">
        <v>72.442078740927272</v>
      </c>
      <c r="H928" s="30">
        <v>75.156045711090087</v>
      </c>
    </row>
    <row r="929" spans="3:8">
      <c r="C929" s="22" t="s">
        <v>27</v>
      </c>
      <c r="D929" s="48" t="s">
        <v>138</v>
      </c>
      <c r="E929" s="22" t="s">
        <v>29</v>
      </c>
      <c r="F929" s="43">
        <v>0.81053569098005696</v>
      </c>
      <c r="G929" s="29">
        <v>74.717676591289091</v>
      </c>
      <c r="H929" s="30">
        <v>60.561343624344929</v>
      </c>
    </row>
    <row r="930" spans="3:8">
      <c r="C930" s="22" t="s">
        <v>107</v>
      </c>
      <c r="D930" s="48" t="s">
        <v>181</v>
      </c>
      <c r="E930" s="22" t="s">
        <v>29</v>
      </c>
      <c r="F930" s="43">
        <v>0.80740835040789105</v>
      </c>
      <c r="G930" s="29">
        <v>106.73171041640566</v>
      </c>
      <c r="H930" s="30">
        <v>86.17607424352282</v>
      </c>
    </row>
    <row r="931" spans="3:8">
      <c r="C931" s="26"/>
      <c r="D931" s="48"/>
      <c r="E931" s="22"/>
      <c r="F931" s="43"/>
      <c r="G931" s="29">
        <v>0</v>
      </c>
      <c r="H931" s="30">
        <v>0</v>
      </c>
    </row>
    <row r="932" spans="3:8">
      <c r="C932" s="26"/>
      <c r="D932" s="48"/>
      <c r="E932" s="22"/>
      <c r="F932" s="57"/>
      <c r="G932" s="29">
        <v>0</v>
      </c>
      <c r="H932" s="30">
        <v>0</v>
      </c>
    </row>
    <row r="933" spans="3:8">
      <c r="C933" s="34" t="s">
        <v>15</v>
      </c>
      <c r="D933" s="34"/>
      <c r="E933" s="34"/>
      <c r="F933" s="35"/>
      <c r="G933" s="34"/>
      <c r="H933" s="36">
        <v>386.05746539160754</v>
      </c>
    </row>
    <row r="934" spans="3:8">
      <c r="C934" s="37" t="s">
        <v>16</v>
      </c>
      <c r="D934" s="38" t="s">
        <v>17</v>
      </c>
      <c r="E934" s="39"/>
      <c r="F934" s="40"/>
      <c r="G934" s="41"/>
      <c r="H934" s="41"/>
    </row>
    <row r="935" spans="3:8">
      <c r="C935" s="22" t="s">
        <v>31</v>
      </c>
      <c r="D935" s="77" t="s">
        <v>114</v>
      </c>
      <c r="E935" s="22" t="s">
        <v>6</v>
      </c>
      <c r="F935" s="78">
        <v>0.48750000000000004</v>
      </c>
      <c r="G935" s="45">
        <v>27.024022577412531</v>
      </c>
      <c r="H935" s="44">
        <v>13.17421100648861</v>
      </c>
    </row>
    <row r="936" spans="3:8">
      <c r="C936" s="22"/>
      <c r="D936" s="58"/>
      <c r="E936" s="22"/>
      <c r="F936" s="93"/>
      <c r="G936" s="30">
        <v>0</v>
      </c>
      <c r="H936" s="44">
        <v>0</v>
      </c>
    </row>
    <row r="937" spans="3:8">
      <c r="C937" s="22"/>
      <c r="D937" s="58"/>
      <c r="E937" s="22"/>
      <c r="F937" s="94"/>
      <c r="G937" s="30">
        <v>0</v>
      </c>
      <c r="H937" s="44">
        <v>0</v>
      </c>
    </row>
    <row r="938" spans="3:8">
      <c r="C938" s="22"/>
      <c r="D938" s="58"/>
      <c r="E938" s="22"/>
      <c r="F938" s="23"/>
      <c r="G938" s="30">
        <v>0</v>
      </c>
      <c r="H938" s="44">
        <v>0</v>
      </c>
    </row>
    <row r="939" spans="3:8">
      <c r="C939" s="22"/>
      <c r="D939" s="58"/>
      <c r="E939" s="22"/>
      <c r="F939" s="23"/>
      <c r="G939" s="30">
        <v>0</v>
      </c>
      <c r="H939" s="44">
        <v>0</v>
      </c>
    </row>
    <row r="940" spans="3:8">
      <c r="C940" s="22"/>
      <c r="D940" s="58"/>
      <c r="E940" s="22"/>
      <c r="F940" s="23"/>
      <c r="G940" s="30">
        <v>0</v>
      </c>
      <c r="H940" s="44">
        <v>0</v>
      </c>
    </row>
    <row r="941" spans="3:8">
      <c r="C941" s="22"/>
      <c r="D941" s="58"/>
      <c r="E941" s="22"/>
      <c r="F941" s="23"/>
      <c r="G941" s="45">
        <v>0</v>
      </c>
      <c r="H941" s="44">
        <v>0</v>
      </c>
    </row>
    <row r="942" spans="3:8">
      <c r="C942" s="22"/>
      <c r="D942" s="27"/>
      <c r="E942" s="22"/>
      <c r="F942" s="32"/>
      <c r="G942" s="30">
        <v>0</v>
      </c>
      <c r="H942" s="44">
        <v>0</v>
      </c>
    </row>
    <row r="943" spans="3:8">
      <c r="C943" s="34" t="s">
        <v>18</v>
      </c>
      <c r="D943" s="34"/>
      <c r="E943" s="34"/>
      <c r="F943" s="35"/>
      <c r="G943" s="34"/>
      <c r="H943" s="36">
        <v>13.17421100648861</v>
      </c>
    </row>
    <row r="944" spans="3:8">
      <c r="C944" s="37" t="s">
        <v>19</v>
      </c>
      <c r="D944" s="38" t="s">
        <v>20</v>
      </c>
      <c r="E944" s="39"/>
      <c r="F944" s="46"/>
      <c r="G944" s="47"/>
      <c r="H944" s="47">
        <v>0</v>
      </c>
    </row>
    <row r="945" spans="3:8">
      <c r="C945" s="28" t="s">
        <v>55</v>
      </c>
      <c r="D945" s="48" t="s">
        <v>182</v>
      </c>
      <c r="E945" s="28" t="s">
        <v>6</v>
      </c>
      <c r="F945" s="23">
        <v>1</v>
      </c>
      <c r="G945" s="33">
        <v>74.382045711606693</v>
      </c>
      <c r="H945" s="33">
        <v>74.382045711606693</v>
      </c>
    </row>
    <row r="946" spans="3:8">
      <c r="C946" s="28" t="s">
        <v>55</v>
      </c>
      <c r="D946" s="48" t="s">
        <v>183</v>
      </c>
      <c r="E946" s="28" t="s">
        <v>33</v>
      </c>
      <c r="F946" s="23">
        <v>1</v>
      </c>
      <c r="G946" s="33">
        <v>64.228437968658596</v>
      </c>
      <c r="H946" s="33">
        <v>64.228437968658596</v>
      </c>
    </row>
    <row r="947" spans="3:8">
      <c r="C947" s="28"/>
      <c r="D947" s="48"/>
      <c r="E947" s="28"/>
      <c r="F947" s="23"/>
      <c r="G947" s="33"/>
      <c r="H947" s="33"/>
    </row>
    <row r="948" spans="3:8">
      <c r="C948" s="28"/>
      <c r="D948" s="48"/>
      <c r="E948" s="28"/>
      <c r="F948" s="23"/>
      <c r="G948" s="33"/>
      <c r="H948" s="33"/>
    </row>
    <row r="949" spans="3:8">
      <c r="C949" s="28"/>
      <c r="D949" s="48"/>
      <c r="E949" s="28"/>
      <c r="F949" s="23"/>
      <c r="G949" s="33">
        <v>0</v>
      </c>
      <c r="H949" s="44">
        <v>0</v>
      </c>
    </row>
    <row r="950" spans="3:8">
      <c r="C950" s="28"/>
      <c r="D950" s="48"/>
      <c r="E950" s="28"/>
      <c r="F950" s="23"/>
      <c r="G950" s="33">
        <v>0</v>
      </c>
      <c r="H950" s="44">
        <v>0</v>
      </c>
    </row>
    <row r="951" spans="3:8">
      <c r="C951" s="28"/>
      <c r="D951" s="92"/>
      <c r="E951" s="28"/>
      <c r="F951" s="23"/>
      <c r="G951" s="33">
        <v>0</v>
      </c>
      <c r="H951" s="44">
        <v>0</v>
      </c>
    </row>
    <row r="952" spans="3:8">
      <c r="C952" s="28"/>
      <c r="D952" s="48"/>
      <c r="E952" s="28"/>
      <c r="F952" s="23"/>
      <c r="G952" s="33">
        <v>0</v>
      </c>
      <c r="H952" s="44">
        <v>0</v>
      </c>
    </row>
    <row r="953" spans="3:8">
      <c r="C953" s="34" t="s">
        <v>21</v>
      </c>
      <c r="D953" s="34"/>
      <c r="E953" s="34"/>
      <c r="F953" s="35"/>
      <c r="G953" s="34"/>
      <c r="H953" s="36">
        <v>138.6104836802653</v>
      </c>
    </row>
    <row r="954" spans="3:8" ht="15.75">
      <c r="C954" s="49" t="s">
        <v>22</v>
      </c>
      <c r="D954" s="50"/>
      <c r="E954" s="50"/>
      <c r="F954" s="51"/>
      <c r="G954" s="52"/>
      <c r="H954" s="36">
        <v>537.84216007836142</v>
      </c>
    </row>
    <row r="955" spans="3:8" ht="15.75">
      <c r="C955" s="49" t="s">
        <v>23</v>
      </c>
      <c r="D955" s="50"/>
      <c r="E955" s="50"/>
      <c r="F955" s="51"/>
      <c r="G955" s="52"/>
      <c r="H955" s="53">
        <v>132.49818537832357</v>
      </c>
    </row>
    <row r="956" spans="3:8" ht="15.75">
      <c r="C956" s="49" t="s">
        <v>24</v>
      </c>
      <c r="D956" s="50"/>
      <c r="E956" s="50"/>
      <c r="F956" s="51"/>
      <c r="G956" s="52"/>
      <c r="H956" s="36">
        <v>670.34</v>
      </c>
    </row>
    <row r="957" spans="3:8" ht="15.75">
      <c r="C957" s="84"/>
      <c r="D957" s="84"/>
      <c r="E957" s="84"/>
      <c r="F957" s="85"/>
      <c r="G957" s="84"/>
      <c r="H957" s="86"/>
    </row>
    <row r="958" spans="3:8">
      <c r="C958" s="5" t="s">
        <v>1</v>
      </c>
      <c r="D958" s="6" t="s">
        <v>192</v>
      </c>
      <c r="E958" s="6"/>
      <c r="F958" s="7"/>
      <c r="G958" s="8"/>
      <c r="H958" s="9"/>
    </row>
    <row r="959" spans="3:8">
      <c r="C959" s="10" t="s">
        <v>3</v>
      </c>
      <c r="D959" s="11" t="s">
        <v>193</v>
      </c>
      <c r="E959" s="12"/>
      <c r="F959" s="13" t="s">
        <v>5</v>
      </c>
      <c r="G959" s="14" t="s">
        <v>177</v>
      </c>
      <c r="H959" s="15">
        <v>720.1</v>
      </c>
    </row>
    <row r="960" spans="3:8">
      <c r="C960" s="16" t="s">
        <v>7</v>
      </c>
      <c r="D960" s="16" t="s">
        <v>8</v>
      </c>
      <c r="E960" s="16" t="s">
        <v>9</v>
      </c>
      <c r="F960" s="17" t="s">
        <v>10</v>
      </c>
      <c r="G960" s="18" t="s">
        <v>11</v>
      </c>
      <c r="H960" s="18" t="s">
        <v>12</v>
      </c>
    </row>
    <row r="961" spans="3:8">
      <c r="C961" s="16"/>
      <c r="D961" s="16"/>
      <c r="E961" s="16"/>
      <c r="F961" s="17"/>
      <c r="G961" s="19"/>
      <c r="H961" s="19"/>
    </row>
    <row r="962" spans="3:8">
      <c r="C962" s="20" t="s">
        <v>13</v>
      </c>
      <c r="D962" s="21" t="s">
        <v>14</v>
      </c>
      <c r="E962" s="22"/>
      <c r="F962" s="23"/>
      <c r="G962" s="24"/>
      <c r="H962" s="25"/>
    </row>
    <row r="963" spans="3:8">
      <c r="C963" s="22" t="s">
        <v>107</v>
      </c>
      <c r="D963" s="54" t="s">
        <v>178</v>
      </c>
      <c r="E963" s="22" t="s">
        <v>29</v>
      </c>
      <c r="F963" s="43">
        <v>1.69360548561387</v>
      </c>
      <c r="G963" s="29">
        <v>78.795486071171297</v>
      </c>
      <c r="H963" s="30">
        <v>133.44846745174701</v>
      </c>
    </row>
    <row r="964" spans="3:8">
      <c r="C964" s="22" t="s">
        <v>27</v>
      </c>
      <c r="D964" s="48" t="s">
        <v>179</v>
      </c>
      <c r="E964" s="22" t="s">
        <v>29</v>
      </c>
      <c r="F964" s="43">
        <v>1.03787970134041</v>
      </c>
      <c r="G964" s="29">
        <v>45.411750977784656</v>
      </c>
      <c r="H964" s="30">
        <v>47.13193454216821</v>
      </c>
    </row>
    <row r="965" spans="3:8">
      <c r="C965" s="22" t="s">
        <v>107</v>
      </c>
      <c r="D965" s="48" t="s">
        <v>180</v>
      </c>
      <c r="E965" s="81" t="s">
        <v>29</v>
      </c>
      <c r="F965" s="43">
        <v>1.1412103534170399</v>
      </c>
      <c r="G965" s="29">
        <v>72.442078740927272</v>
      </c>
      <c r="H965" s="30">
        <v>82.671650282198641</v>
      </c>
    </row>
    <row r="966" spans="3:8">
      <c r="C966" s="22" t="s">
        <v>27</v>
      </c>
      <c r="D966" s="48" t="s">
        <v>138</v>
      </c>
      <c r="E966" s="22" t="s">
        <v>29</v>
      </c>
      <c r="F966" s="43">
        <v>0.89158926007806405</v>
      </c>
      <c r="G966" s="29">
        <v>74.717676591289091</v>
      </c>
      <c r="H966" s="30">
        <v>66.617477986779534</v>
      </c>
    </row>
    <row r="967" spans="3:8">
      <c r="C967" s="22" t="s">
        <v>107</v>
      </c>
      <c r="D967" s="48" t="s">
        <v>181</v>
      </c>
      <c r="E967" s="22" t="s">
        <v>29</v>
      </c>
      <c r="F967" s="43">
        <v>0.88814918544868005</v>
      </c>
      <c r="G967" s="29">
        <v>106.73171041640566</v>
      </c>
      <c r="H967" s="30">
        <v>94.793681667875092</v>
      </c>
    </row>
    <row r="968" spans="3:8">
      <c r="C968" s="26"/>
      <c r="D968" s="48"/>
      <c r="E968" s="22"/>
      <c r="F968" s="43"/>
      <c r="G968" s="29">
        <v>0</v>
      </c>
      <c r="H968" s="30">
        <v>0</v>
      </c>
    </row>
    <row r="969" spans="3:8">
      <c r="C969" s="26"/>
      <c r="D969" s="48"/>
      <c r="E969" s="22"/>
      <c r="F969" s="57"/>
      <c r="G969" s="29">
        <v>0</v>
      </c>
      <c r="H969" s="30">
        <v>0</v>
      </c>
    </row>
    <row r="970" spans="3:8">
      <c r="C970" s="34" t="s">
        <v>15</v>
      </c>
      <c r="D970" s="34"/>
      <c r="E970" s="34"/>
      <c r="F970" s="35"/>
      <c r="G970" s="34"/>
      <c r="H970" s="36">
        <v>424.66321193076851</v>
      </c>
    </row>
    <row r="971" spans="3:8">
      <c r="C971" s="37" t="s">
        <v>16</v>
      </c>
      <c r="D971" s="38" t="s">
        <v>17</v>
      </c>
      <c r="E971" s="39"/>
      <c r="F971" s="40"/>
      <c r="G971" s="41"/>
      <c r="H971" s="41"/>
    </row>
    <row r="972" spans="3:8">
      <c r="C972" s="22" t="s">
        <v>31</v>
      </c>
      <c r="D972" s="77" t="s">
        <v>114</v>
      </c>
      <c r="E972" s="22" t="s">
        <v>6</v>
      </c>
      <c r="F972" s="78">
        <v>0.48750000000000004</v>
      </c>
      <c r="G972" s="45">
        <v>29.7264248351538</v>
      </c>
      <c r="H972" s="44">
        <v>14.491632107137479</v>
      </c>
    </row>
    <row r="973" spans="3:8">
      <c r="C973" s="22"/>
      <c r="D973" s="58"/>
      <c r="E973" s="22"/>
      <c r="F973" s="93"/>
      <c r="G973" s="30">
        <v>0</v>
      </c>
      <c r="H973" s="44">
        <v>0</v>
      </c>
    </row>
    <row r="974" spans="3:8">
      <c r="C974" s="22"/>
      <c r="D974" s="58"/>
      <c r="E974" s="22"/>
      <c r="F974" s="94"/>
      <c r="G974" s="30">
        <v>0</v>
      </c>
      <c r="H974" s="44">
        <v>0</v>
      </c>
    </row>
    <row r="975" spans="3:8">
      <c r="C975" s="22"/>
      <c r="D975" s="58"/>
      <c r="E975" s="22"/>
      <c r="F975" s="23"/>
      <c r="G975" s="30">
        <v>0</v>
      </c>
      <c r="H975" s="44">
        <v>0</v>
      </c>
    </row>
    <row r="976" spans="3:8">
      <c r="C976" s="22"/>
      <c r="D976" s="58"/>
      <c r="E976" s="22"/>
      <c r="F976" s="23"/>
      <c r="G976" s="30">
        <v>0</v>
      </c>
      <c r="H976" s="44">
        <v>0</v>
      </c>
    </row>
    <row r="977" spans="3:8">
      <c r="C977" s="22"/>
      <c r="D977" s="58"/>
      <c r="E977" s="22"/>
      <c r="F977" s="23"/>
      <c r="G977" s="30">
        <v>0</v>
      </c>
      <c r="H977" s="44">
        <v>0</v>
      </c>
    </row>
    <row r="978" spans="3:8">
      <c r="C978" s="22"/>
      <c r="D978" s="58"/>
      <c r="E978" s="22"/>
      <c r="F978" s="23"/>
      <c r="G978" s="45">
        <v>0</v>
      </c>
      <c r="H978" s="44">
        <v>0</v>
      </c>
    </row>
    <row r="979" spans="3:8">
      <c r="C979" s="22"/>
      <c r="D979" s="27"/>
      <c r="E979" s="22"/>
      <c r="F979" s="32"/>
      <c r="G979" s="30">
        <v>0</v>
      </c>
      <c r="H979" s="44">
        <v>0</v>
      </c>
    </row>
    <row r="980" spans="3:8">
      <c r="C980" s="34" t="s">
        <v>18</v>
      </c>
      <c r="D980" s="34"/>
      <c r="E980" s="34"/>
      <c r="F980" s="35"/>
      <c r="G980" s="34"/>
      <c r="H980" s="36">
        <v>14.491632107137479</v>
      </c>
    </row>
    <row r="981" spans="3:8">
      <c r="C981" s="37" t="s">
        <v>19</v>
      </c>
      <c r="D981" s="38" t="s">
        <v>20</v>
      </c>
      <c r="E981" s="39"/>
      <c r="F981" s="46"/>
      <c r="G981" s="47"/>
      <c r="H981" s="47">
        <v>0</v>
      </c>
    </row>
    <row r="982" spans="3:8">
      <c r="C982" s="28" t="s">
        <v>55</v>
      </c>
      <c r="D982" s="48" t="s">
        <v>182</v>
      </c>
      <c r="E982" s="28" t="s">
        <v>6</v>
      </c>
      <c r="F982" s="23">
        <v>1</v>
      </c>
      <c r="G982" s="33">
        <v>74.382045711606693</v>
      </c>
      <c r="H982" s="33">
        <v>74.382045711606693</v>
      </c>
    </row>
    <row r="983" spans="3:8">
      <c r="C983" s="28" t="s">
        <v>55</v>
      </c>
      <c r="D983" s="48" t="s">
        <v>183</v>
      </c>
      <c r="E983" s="28" t="s">
        <v>33</v>
      </c>
      <c r="F983" s="23">
        <v>1</v>
      </c>
      <c r="G983" s="33">
        <v>64.228437968658596</v>
      </c>
      <c r="H983" s="33">
        <v>64.228437968658596</v>
      </c>
    </row>
    <row r="984" spans="3:8">
      <c r="C984" s="28"/>
      <c r="D984" s="48"/>
      <c r="E984" s="28"/>
      <c r="F984" s="23"/>
      <c r="G984" s="33">
        <v>0</v>
      </c>
      <c r="H984" s="44">
        <v>0</v>
      </c>
    </row>
    <row r="985" spans="3:8">
      <c r="C985" s="28"/>
      <c r="D985" s="48"/>
      <c r="E985" s="28"/>
      <c r="F985" s="23"/>
      <c r="G985" s="33">
        <v>0</v>
      </c>
      <c r="H985" s="44">
        <v>0</v>
      </c>
    </row>
    <row r="986" spans="3:8">
      <c r="C986" s="28"/>
      <c r="D986" s="48"/>
      <c r="E986" s="28"/>
      <c r="F986" s="23"/>
      <c r="G986" s="33">
        <v>0</v>
      </c>
      <c r="H986" s="44">
        <v>0</v>
      </c>
    </row>
    <row r="987" spans="3:8">
      <c r="C987" s="28"/>
      <c r="D987" s="48"/>
      <c r="E987" s="28"/>
      <c r="F987" s="23"/>
      <c r="G987" s="33">
        <v>0</v>
      </c>
      <c r="H987" s="44">
        <v>0</v>
      </c>
    </row>
    <row r="988" spans="3:8">
      <c r="C988" s="28"/>
      <c r="D988" s="92"/>
      <c r="E988" s="28"/>
      <c r="F988" s="23"/>
      <c r="G988" s="33">
        <v>0</v>
      </c>
      <c r="H988" s="44">
        <v>0</v>
      </c>
    </row>
    <row r="989" spans="3:8">
      <c r="C989" s="28"/>
      <c r="D989" s="48"/>
      <c r="E989" s="28"/>
      <c r="F989" s="23"/>
      <c r="G989" s="33">
        <v>0</v>
      </c>
      <c r="H989" s="44">
        <v>0</v>
      </c>
    </row>
    <row r="990" spans="3:8">
      <c r="C990" s="34" t="s">
        <v>21</v>
      </c>
      <c r="D990" s="34"/>
      <c r="E990" s="34"/>
      <c r="F990" s="35"/>
      <c r="G990" s="34"/>
      <c r="H990" s="36">
        <v>138.6104836802653</v>
      </c>
    </row>
    <row r="991" spans="3:8" ht="15.75">
      <c r="C991" s="49" t="s">
        <v>22</v>
      </c>
      <c r="D991" s="50"/>
      <c r="E991" s="50"/>
      <c r="F991" s="51"/>
      <c r="G991" s="52"/>
      <c r="H991" s="36">
        <v>577.76532771817131</v>
      </c>
    </row>
    <row r="992" spans="3:8" ht="15.75">
      <c r="C992" s="49" t="s">
        <v>23</v>
      </c>
      <c r="D992" s="50"/>
      <c r="E992" s="50"/>
      <c r="F992" s="51"/>
      <c r="G992" s="52"/>
      <c r="H992" s="53">
        <v>142.33331482607591</v>
      </c>
    </row>
    <row r="993" spans="3:8" ht="15.75">
      <c r="C993" s="49" t="s">
        <v>24</v>
      </c>
      <c r="D993" s="50"/>
      <c r="E993" s="50"/>
      <c r="F993" s="51"/>
      <c r="G993" s="52"/>
      <c r="H993" s="36">
        <v>720.1</v>
      </c>
    </row>
    <row r="994" spans="3:8" ht="15.75">
      <c r="C994" s="84"/>
      <c r="D994" s="84"/>
      <c r="E994" s="84"/>
      <c r="F994" s="85"/>
      <c r="G994" s="84"/>
      <c r="H994" s="86"/>
    </row>
    <row r="995" spans="3:8">
      <c r="C995" s="5" t="s">
        <v>1</v>
      </c>
      <c r="D995" s="6" t="s">
        <v>194</v>
      </c>
      <c r="E995" s="6"/>
      <c r="F995" s="7"/>
      <c r="G995" s="8"/>
      <c r="H995" s="9"/>
    </row>
    <row r="996" spans="3:8">
      <c r="C996" s="10" t="s">
        <v>3</v>
      </c>
      <c r="D996" s="11" t="s">
        <v>195</v>
      </c>
      <c r="E996" s="12"/>
      <c r="F996" s="13" t="s">
        <v>5</v>
      </c>
      <c r="G996" s="14" t="s">
        <v>177</v>
      </c>
      <c r="H996" s="15">
        <v>169.67</v>
      </c>
    </row>
    <row r="997" spans="3:8">
      <c r="C997" s="16" t="s">
        <v>7</v>
      </c>
      <c r="D997" s="16" t="s">
        <v>8</v>
      </c>
      <c r="E997" s="16" t="s">
        <v>9</v>
      </c>
      <c r="F997" s="17" t="s">
        <v>10</v>
      </c>
      <c r="G997" s="18" t="s">
        <v>11</v>
      </c>
      <c r="H997" s="18" t="s">
        <v>12</v>
      </c>
    </row>
    <row r="998" spans="3:8">
      <c r="C998" s="16"/>
      <c r="D998" s="16"/>
      <c r="E998" s="16"/>
      <c r="F998" s="17"/>
      <c r="G998" s="19"/>
      <c r="H998" s="19"/>
    </row>
    <row r="999" spans="3:8">
      <c r="C999" s="20" t="s">
        <v>13</v>
      </c>
      <c r="D999" s="21" t="s">
        <v>14</v>
      </c>
      <c r="E999" s="22"/>
      <c r="F999" s="23"/>
      <c r="G999" s="24"/>
      <c r="H999" s="25"/>
    </row>
    <row r="1000" spans="3:8">
      <c r="C1000" s="22" t="s">
        <v>27</v>
      </c>
      <c r="D1000" s="48" t="s">
        <v>196</v>
      </c>
      <c r="E1000" s="22" t="s">
        <v>29</v>
      </c>
      <c r="F1000" s="43">
        <v>0.15</v>
      </c>
      <c r="G1000" s="29">
        <v>115.62851926460858</v>
      </c>
      <c r="H1000" s="30">
        <v>17.344277889691288</v>
      </c>
    </row>
    <row r="1001" spans="3:8">
      <c r="C1001" s="22" t="s">
        <v>27</v>
      </c>
      <c r="D1001" s="48" t="s">
        <v>170</v>
      </c>
      <c r="E1001" s="22" t="s">
        <v>29</v>
      </c>
      <c r="F1001" s="43">
        <v>0.15</v>
      </c>
      <c r="G1001" s="29">
        <v>57.709977237362267</v>
      </c>
      <c r="H1001" s="30">
        <v>8.656496585604339</v>
      </c>
    </row>
    <row r="1002" spans="3:8">
      <c r="C1002" s="22"/>
      <c r="D1002" s="48"/>
      <c r="E1002" s="22"/>
      <c r="F1002" s="43"/>
      <c r="G1002" s="29"/>
      <c r="H1002" s="30"/>
    </row>
    <row r="1003" spans="3:8">
      <c r="C1003" s="22"/>
      <c r="D1003" s="27"/>
      <c r="E1003" s="22"/>
      <c r="F1003" s="95"/>
      <c r="G1003" s="29">
        <v>0</v>
      </c>
      <c r="H1003" s="30">
        <v>0</v>
      </c>
    </row>
    <row r="1004" spans="3:8">
      <c r="C1004" s="22"/>
      <c r="D1004" s="48"/>
      <c r="E1004" s="22"/>
      <c r="F1004" s="43"/>
      <c r="G1004" s="29">
        <v>0</v>
      </c>
      <c r="H1004" s="30">
        <v>0</v>
      </c>
    </row>
    <row r="1005" spans="3:8">
      <c r="C1005" s="26"/>
      <c r="D1005" s="48"/>
      <c r="E1005" s="22"/>
      <c r="F1005" s="43"/>
      <c r="G1005" s="29">
        <v>0</v>
      </c>
      <c r="H1005" s="30">
        <v>0</v>
      </c>
    </row>
    <row r="1006" spans="3:8">
      <c r="C1006" s="26"/>
      <c r="D1006" s="48"/>
      <c r="E1006" s="22"/>
      <c r="F1006" s="57"/>
      <c r="G1006" s="29">
        <v>0</v>
      </c>
      <c r="H1006" s="30">
        <v>0</v>
      </c>
    </row>
    <row r="1007" spans="3:8">
      <c r="C1007" s="34" t="s">
        <v>15</v>
      </c>
      <c r="D1007" s="34"/>
      <c r="E1007" s="34"/>
      <c r="F1007" s="35"/>
      <c r="G1007" s="34"/>
      <c r="H1007" s="36">
        <v>26.000774475295628</v>
      </c>
    </row>
    <row r="1008" spans="3:8">
      <c r="C1008" s="37" t="s">
        <v>16</v>
      </c>
      <c r="D1008" s="38" t="s">
        <v>17</v>
      </c>
      <c r="E1008" s="39"/>
      <c r="F1008" s="40"/>
      <c r="G1008" s="41"/>
      <c r="H1008" s="41"/>
    </row>
    <row r="1009" spans="3:8">
      <c r="C1009" s="22" t="s">
        <v>31</v>
      </c>
      <c r="D1009" s="77" t="s">
        <v>114</v>
      </c>
      <c r="E1009" s="22" t="s">
        <v>6</v>
      </c>
      <c r="F1009" s="78">
        <v>0.48750000000000004</v>
      </c>
      <c r="G1009" s="45">
        <v>2.6000774475295629</v>
      </c>
      <c r="H1009" s="44">
        <v>1.267537755670662</v>
      </c>
    </row>
    <row r="1010" spans="3:8">
      <c r="C1010" s="22"/>
      <c r="D1010" s="58"/>
      <c r="E1010" s="22"/>
      <c r="F1010" s="93"/>
      <c r="G1010" s="30">
        <v>0</v>
      </c>
      <c r="H1010" s="44">
        <v>0</v>
      </c>
    </row>
    <row r="1011" spans="3:8">
      <c r="C1011" s="22"/>
      <c r="D1011" s="58"/>
      <c r="E1011" s="22"/>
      <c r="F1011" s="94"/>
      <c r="G1011" s="30">
        <v>0</v>
      </c>
      <c r="H1011" s="44">
        <v>0</v>
      </c>
    </row>
    <row r="1012" spans="3:8">
      <c r="C1012" s="22"/>
      <c r="D1012" s="58"/>
      <c r="E1012" s="22"/>
      <c r="F1012" s="23"/>
      <c r="G1012" s="30">
        <v>0</v>
      </c>
      <c r="H1012" s="44">
        <v>0</v>
      </c>
    </row>
    <row r="1013" spans="3:8">
      <c r="C1013" s="22"/>
      <c r="D1013" s="58"/>
      <c r="E1013" s="22"/>
      <c r="F1013" s="23"/>
      <c r="G1013" s="30">
        <v>0</v>
      </c>
      <c r="H1013" s="44">
        <v>0</v>
      </c>
    </row>
    <row r="1014" spans="3:8">
      <c r="C1014" s="22"/>
      <c r="D1014" s="58"/>
      <c r="E1014" s="22"/>
      <c r="F1014" s="23"/>
      <c r="G1014" s="30">
        <v>0</v>
      </c>
      <c r="H1014" s="44">
        <v>0</v>
      </c>
    </row>
    <row r="1015" spans="3:8">
      <c r="C1015" s="22"/>
      <c r="D1015" s="58"/>
      <c r="E1015" s="22"/>
      <c r="F1015" s="23"/>
      <c r="G1015" s="45">
        <v>0</v>
      </c>
      <c r="H1015" s="44">
        <v>0</v>
      </c>
    </row>
    <row r="1016" spans="3:8">
      <c r="C1016" s="22"/>
      <c r="D1016" s="27"/>
      <c r="E1016" s="22"/>
      <c r="F1016" s="32"/>
      <c r="G1016" s="30">
        <v>0</v>
      </c>
      <c r="H1016" s="44">
        <v>0</v>
      </c>
    </row>
    <row r="1017" spans="3:8">
      <c r="C1017" s="34" t="s">
        <v>18</v>
      </c>
      <c r="D1017" s="34"/>
      <c r="E1017" s="34"/>
      <c r="F1017" s="35"/>
      <c r="G1017" s="34"/>
      <c r="H1017" s="36">
        <v>1.267537755670662</v>
      </c>
    </row>
    <row r="1018" spans="3:8">
      <c r="C1018" s="37" t="s">
        <v>19</v>
      </c>
      <c r="D1018" s="38" t="s">
        <v>20</v>
      </c>
      <c r="E1018" s="39"/>
      <c r="F1018" s="46"/>
      <c r="G1018" s="47"/>
      <c r="H1018" s="47">
        <v>0</v>
      </c>
    </row>
    <row r="1019" spans="3:8">
      <c r="C1019" s="28" t="s">
        <v>55</v>
      </c>
      <c r="D1019" s="70" t="s">
        <v>197</v>
      </c>
      <c r="E1019" s="28" t="s">
        <v>198</v>
      </c>
      <c r="F1019" s="23">
        <v>1</v>
      </c>
      <c r="G1019" s="33">
        <v>108.86116666666666</v>
      </c>
      <c r="H1019" s="33">
        <v>108.86116666666666</v>
      </c>
    </row>
    <row r="1020" spans="3:8">
      <c r="C1020" s="28"/>
      <c r="D1020" s="48"/>
      <c r="E1020" s="28"/>
      <c r="F1020" s="23"/>
      <c r="G1020" s="33">
        <v>0</v>
      </c>
      <c r="H1020" s="33">
        <v>0</v>
      </c>
    </row>
    <row r="1021" spans="3:8">
      <c r="C1021" s="28"/>
      <c r="D1021" s="48"/>
      <c r="E1021" s="28"/>
      <c r="F1021" s="23"/>
      <c r="G1021" s="33">
        <v>0</v>
      </c>
      <c r="H1021" s="44">
        <v>0</v>
      </c>
    </row>
    <row r="1022" spans="3:8">
      <c r="C1022" s="28"/>
      <c r="D1022" s="48"/>
      <c r="E1022" s="28"/>
      <c r="F1022" s="23"/>
      <c r="G1022" s="33">
        <v>0</v>
      </c>
      <c r="H1022" s="44">
        <v>0</v>
      </c>
    </row>
    <row r="1023" spans="3:8">
      <c r="C1023" s="28"/>
      <c r="D1023" s="48"/>
      <c r="E1023" s="28"/>
      <c r="F1023" s="23"/>
      <c r="G1023" s="33">
        <v>0</v>
      </c>
      <c r="H1023" s="44">
        <v>0</v>
      </c>
    </row>
    <row r="1024" spans="3:8">
      <c r="C1024" s="28"/>
      <c r="D1024" s="48"/>
      <c r="E1024" s="28"/>
      <c r="F1024" s="23"/>
      <c r="G1024" s="33">
        <v>0</v>
      </c>
      <c r="H1024" s="44">
        <v>0</v>
      </c>
    </row>
    <row r="1025" spans="3:8">
      <c r="C1025" s="28"/>
      <c r="D1025" s="92"/>
      <c r="E1025" s="28"/>
      <c r="F1025" s="23"/>
      <c r="G1025" s="33">
        <v>0</v>
      </c>
      <c r="H1025" s="44">
        <v>0</v>
      </c>
    </row>
    <row r="1026" spans="3:8">
      <c r="C1026" s="28"/>
      <c r="D1026" s="48"/>
      <c r="E1026" s="28"/>
      <c r="F1026" s="23"/>
      <c r="G1026" s="33">
        <v>0</v>
      </c>
      <c r="H1026" s="44">
        <v>0</v>
      </c>
    </row>
    <row r="1027" spans="3:8">
      <c r="C1027" s="34" t="s">
        <v>21</v>
      </c>
      <c r="D1027" s="34"/>
      <c r="E1027" s="34"/>
      <c r="F1027" s="35"/>
      <c r="G1027" s="34"/>
      <c r="H1027" s="36">
        <v>108.86116666666666</v>
      </c>
    </row>
    <row r="1028" spans="3:8" ht="15.75">
      <c r="C1028" s="49" t="s">
        <v>22</v>
      </c>
      <c r="D1028" s="50"/>
      <c r="E1028" s="50"/>
      <c r="F1028" s="51"/>
      <c r="G1028" s="52"/>
      <c r="H1028" s="36">
        <v>136.12947889763296</v>
      </c>
    </row>
    <row r="1029" spans="3:8" ht="15.75">
      <c r="C1029" s="49" t="s">
        <v>23</v>
      </c>
      <c r="D1029" s="50"/>
      <c r="E1029" s="50"/>
      <c r="F1029" s="51"/>
      <c r="G1029" s="52"/>
      <c r="H1029" s="53">
        <v>33.535691824168737</v>
      </c>
    </row>
    <row r="1030" spans="3:8" ht="15.75">
      <c r="C1030" s="49" t="s">
        <v>24</v>
      </c>
      <c r="D1030" s="50"/>
      <c r="E1030" s="50"/>
      <c r="F1030" s="51"/>
      <c r="G1030" s="52"/>
      <c r="H1030" s="36">
        <v>169.67</v>
      </c>
    </row>
    <row r="1031" spans="3:8" ht="15.75">
      <c r="C1031" s="84"/>
      <c r="D1031" s="84"/>
      <c r="E1031" s="84"/>
      <c r="F1031" s="85"/>
      <c r="G1031" s="84"/>
      <c r="H1031" s="86"/>
    </row>
    <row r="1032" spans="3:8">
      <c r="C1032" s="5" t="s">
        <v>1</v>
      </c>
      <c r="D1032" s="6" t="s">
        <v>199</v>
      </c>
      <c r="E1032" s="6"/>
      <c r="F1032" s="7"/>
      <c r="G1032" s="8"/>
      <c r="H1032" s="9"/>
    </row>
    <row r="1033" spans="3:8">
      <c r="C1033" s="10" t="s">
        <v>3</v>
      </c>
      <c r="D1033" s="11" t="s">
        <v>200</v>
      </c>
      <c r="E1033" s="12"/>
      <c r="F1033" s="13" t="s">
        <v>5</v>
      </c>
      <c r="G1033" s="14" t="s">
        <v>177</v>
      </c>
      <c r="H1033" s="15">
        <v>158.77000000000001</v>
      </c>
    </row>
    <row r="1034" spans="3:8">
      <c r="C1034" s="16" t="s">
        <v>7</v>
      </c>
      <c r="D1034" s="16" t="s">
        <v>8</v>
      </c>
      <c r="E1034" s="16" t="s">
        <v>9</v>
      </c>
      <c r="F1034" s="17" t="s">
        <v>10</v>
      </c>
      <c r="G1034" s="18" t="s">
        <v>11</v>
      </c>
      <c r="H1034" s="18" t="s">
        <v>12</v>
      </c>
    </row>
    <row r="1035" spans="3:8">
      <c r="C1035" s="16"/>
      <c r="D1035" s="16"/>
      <c r="E1035" s="16"/>
      <c r="F1035" s="17"/>
      <c r="G1035" s="19"/>
      <c r="H1035" s="19"/>
    </row>
    <row r="1036" spans="3:8">
      <c r="C1036" s="20" t="s">
        <v>13</v>
      </c>
      <c r="D1036" s="21" t="s">
        <v>14</v>
      </c>
      <c r="E1036" s="22"/>
      <c r="F1036" s="23"/>
      <c r="G1036" s="24"/>
      <c r="H1036" s="25"/>
    </row>
    <row r="1037" spans="3:8">
      <c r="C1037" s="22" t="s">
        <v>27</v>
      </c>
      <c r="D1037" s="48" t="s">
        <v>196</v>
      </c>
      <c r="E1037" s="22" t="s">
        <v>29</v>
      </c>
      <c r="F1037" s="43">
        <v>0.15</v>
      </c>
      <c r="G1037" s="29">
        <v>115.62851926460858</v>
      </c>
      <c r="H1037" s="30">
        <v>17.344277889691288</v>
      </c>
    </row>
    <row r="1038" spans="3:8">
      <c r="C1038" s="22" t="s">
        <v>27</v>
      </c>
      <c r="D1038" s="48" t="s">
        <v>170</v>
      </c>
      <c r="E1038" s="22" t="s">
        <v>29</v>
      </c>
      <c r="F1038" s="43">
        <v>0.15</v>
      </c>
      <c r="G1038" s="29">
        <v>57.709977237362267</v>
      </c>
      <c r="H1038" s="30">
        <v>8.656496585604339</v>
      </c>
    </row>
    <row r="1039" spans="3:8">
      <c r="C1039" s="22"/>
      <c r="D1039" s="27"/>
      <c r="E1039" s="22"/>
      <c r="F1039" s="64"/>
      <c r="G1039" s="29"/>
      <c r="H1039" s="30"/>
    </row>
    <row r="1040" spans="3:8">
      <c r="C1040" s="22"/>
      <c r="D1040" s="27"/>
      <c r="E1040" s="22"/>
      <c r="F1040" s="95"/>
      <c r="G1040" s="29">
        <v>0</v>
      </c>
      <c r="H1040" s="30">
        <v>0</v>
      </c>
    </row>
    <row r="1041" spans="3:8">
      <c r="C1041" s="22"/>
      <c r="D1041" s="48"/>
      <c r="E1041" s="22"/>
      <c r="F1041" s="43"/>
      <c r="G1041" s="29">
        <v>0</v>
      </c>
      <c r="H1041" s="30">
        <v>0</v>
      </c>
    </row>
    <row r="1042" spans="3:8">
      <c r="C1042" s="26"/>
      <c r="D1042" s="48"/>
      <c r="E1042" s="22"/>
      <c r="F1042" s="43"/>
      <c r="G1042" s="29">
        <v>0</v>
      </c>
      <c r="H1042" s="30">
        <v>0</v>
      </c>
    </row>
    <row r="1043" spans="3:8">
      <c r="C1043" s="26"/>
      <c r="D1043" s="48"/>
      <c r="E1043" s="22"/>
      <c r="F1043" s="57"/>
      <c r="G1043" s="29">
        <v>0</v>
      </c>
      <c r="H1043" s="30">
        <v>0</v>
      </c>
    </row>
    <row r="1044" spans="3:8">
      <c r="C1044" s="34" t="s">
        <v>15</v>
      </c>
      <c r="D1044" s="34"/>
      <c r="E1044" s="34"/>
      <c r="F1044" s="35"/>
      <c r="G1044" s="34"/>
      <c r="H1044" s="36">
        <v>26.000774475295628</v>
      </c>
    </row>
    <row r="1045" spans="3:8">
      <c r="C1045" s="37" t="s">
        <v>16</v>
      </c>
      <c r="D1045" s="38" t="s">
        <v>17</v>
      </c>
      <c r="E1045" s="39"/>
      <c r="F1045" s="40"/>
      <c r="G1045" s="41"/>
      <c r="H1045" s="41"/>
    </row>
    <row r="1046" spans="3:8">
      <c r="C1046" s="22" t="s">
        <v>31</v>
      </c>
      <c r="D1046" s="77" t="s">
        <v>114</v>
      </c>
      <c r="E1046" s="22" t="s">
        <v>6</v>
      </c>
      <c r="F1046" s="78">
        <v>0.48750000000000004</v>
      </c>
      <c r="G1046" s="45">
        <v>2.6000774475295629</v>
      </c>
      <c r="H1046" s="44">
        <v>1.267537755670662</v>
      </c>
    </row>
    <row r="1047" spans="3:8">
      <c r="C1047" s="22"/>
      <c r="D1047" s="58"/>
      <c r="E1047" s="22"/>
      <c r="F1047" s="93"/>
      <c r="G1047" s="30">
        <v>0</v>
      </c>
      <c r="H1047" s="44">
        <v>0</v>
      </c>
    </row>
    <row r="1048" spans="3:8">
      <c r="C1048" s="22"/>
      <c r="D1048" s="58"/>
      <c r="E1048" s="22"/>
      <c r="F1048" s="94"/>
      <c r="G1048" s="30">
        <v>0</v>
      </c>
      <c r="H1048" s="44">
        <v>0</v>
      </c>
    </row>
    <row r="1049" spans="3:8">
      <c r="C1049" s="22"/>
      <c r="D1049" s="58"/>
      <c r="E1049" s="22"/>
      <c r="F1049" s="23"/>
      <c r="G1049" s="30">
        <v>0</v>
      </c>
      <c r="H1049" s="44">
        <v>0</v>
      </c>
    </row>
    <row r="1050" spans="3:8">
      <c r="C1050" s="22"/>
      <c r="D1050" s="58"/>
      <c r="E1050" s="22"/>
      <c r="F1050" s="23"/>
      <c r="G1050" s="30">
        <v>0</v>
      </c>
      <c r="H1050" s="44">
        <v>0</v>
      </c>
    </row>
    <row r="1051" spans="3:8">
      <c r="C1051" s="22"/>
      <c r="D1051" s="58"/>
      <c r="E1051" s="22"/>
      <c r="F1051" s="23"/>
      <c r="G1051" s="30">
        <v>0</v>
      </c>
      <c r="H1051" s="44">
        <v>0</v>
      </c>
    </row>
    <row r="1052" spans="3:8">
      <c r="C1052" s="22"/>
      <c r="D1052" s="58"/>
      <c r="E1052" s="22"/>
      <c r="F1052" s="23"/>
      <c r="G1052" s="45">
        <v>0</v>
      </c>
      <c r="H1052" s="44">
        <v>0</v>
      </c>
    </row>
    <row r="1053" spans="3:8">
      <c r="C1053" s="22"/>
      <c r="D1053" s="27"/>
      <c r="E1053" s="22"/>
      <c r="F1053" s="32"/>
      <c r="G1053" s="30">
        <v>0</v>
      </c>
      <c r="H1053" s="44">
        <v>0</v>
      </c>
    </row>
    <row r="1054" spans="3:8">
      <c r="C1054" s="34" t="s">
        <v>18</v>
      </c>
      <c r="D1054" s="34"/>
      <c r="E1054" s="34"/>
      <c r="F1054" s="35"/>
      <c r="G1054" s="34"/>
      <c r="H1054" s="36">
        <v>1.267537755670662</v>
      </c>
    </row>
    <row r="1055" spans="3:8">
      <c r="C1055" s="37" t="s">
        <v>19</v>
      </c>
      <c r="D1055" s="38" t="s">
        <v>20</v>
      </c>
      <c r="E1055" s="39"/>
      <c r="F1055" s="46"/>
      <c r="G1055" s="47"/>
      <c r="H1055" s="47">
        <v>0</v>
      </c>
    </row>
    <row r="1056" spans="3:8">
      <c r="C1056" s="28" t="s">
        <v>55</v>
      </c>
      <c r="D1056" s="70" t="s">
        <v>197</v>
      </c>
      <c r="E1056" s="28" t="s">
        <v>198</v>
      </c>
      <c r="F1056" s="23">
        <v>1</v>
      </c>
      <c r="G1056" s="33">
        <v>100.11666666666666</v>
      </c>
      <c r="H1056" s="33">
        <v>100.11666666666666</v>
      </c>
    </row>
    <row r="1057" spans="3:8">
      <c r="C1057" s="28"/>
      <c r="D1057" s="48"/>
      <c r="E1057" s="28"/>
      <c r="F1057" s="23"/>
      <c r="G1057" s="33">
        <v>0</v>
      </c>
      <c r="H1057" s="44">
        <v>0</v>
      </c>
    </row>
    <row r="1058" spans="3:8">
      <c r="C1058" s="28"/>
      <c r="D1058" s="48"/>
      <c r="E1058" s="28"/>
      <c r="F1058" s="23"/>
      <c r="G1058" s="33">
        <v>0</v>
      </c>
      <c r="H1058" s="44">
        <v>0</v>
      </c>
    </row>
    <row r="1059" spans="3:8">
      <c r="C1059" s="28"/>
      <c r="D1059" s="48"/>
      <c r="E1059" s="28"/>
      <c r="F1059" s="23"/>
      <c r="G1059" s="33">
        <v>0</v>
      </c>
      <c r="H1059" s="44">
        <v>0</v>
      </c>
    </row>
    <row r="1060" spans="3:8">
      <c r="C1060" s="28"/>
      <c r="D1060" s="48"/>
      <c r="E1060" s="28"/>
      <c r="F1060" s="23"/>
      <c r="G1060" s="33">
        <v>0</v>
      </c>
      <c r="H1060" s="44">
        <v>0</v>
      </c>
    </row>
    <row r="1061" spans="3:8">
      <c r="C1061" s="28"/>
      <c r="D1061" s="48"/>
      <c r="E1061" s="28"/>
      <c r="F1061" s="23"/>
      <c r="G1061" s="33">
        <v>0</v>
      </c>
      <c r="H1061" s="44">
        <v>0</v>
      </c>
    </row>
    <row r="1062" spans="3:8">
      <c r="C1062" s="28"/>
      <c r="D1062" s="92"/>
      <c r="E1062" s="28"/>
      <c r="F1062" s="23"/>
      <c r="G1062" s="33">
        <v>0</v>
      </c>
      <c r="H1062" s="44">
        <v>0</v>
      </c>
    </row>
    <row r="1063" spans="3:8">
      <c r="C1063" s="28"/>
      <c r="D1063" s="48"/>
      <c r="E1063" s="28"/>
      <c r="F1063" s="23"/>
      <c r="G1063" s="33">
        <v>0</v>
      </c>
      <c r="H1063" s="44">
        <v>0</v>
      </c>
    </row>
    <row r="1064" spans="3:8">
      <c r="C1064" s="34" t="s">
        <v>21</v>
      </c>
      <c r="D1064" s="34"/>
      <c r="E1064" s="34"/>
      <c r="F1064" s="35"/>
      <c r="G1064" s="34"/>
      <c r="H1064" s="36">
        <v>100.11666666666666</v>
      </c>
    </row>
    <row r="1065" spans="3:8" ht="15.75">
      <c r="C1065" s="49" t="s">
        <v>22</v>
      </c>
      <c r="D1065" s="50"/>
      <c r="E1065" s="50"/>
      <c r="F1065" s="51"/>
      <c r="G1065" s="52"/>
      <c r="H1065" s="36">
        <v>127.38497889763295</v>
      </c>
    </row>
    <row r="1066" spans="3:8" ht="15.75">
      <c r="C1066" s="49" t="s">
        <v>23</v>
      </c>
      <c r="D1066" s="50"/>
      <c r="E1066" s="50"/>
      <c r="F1066" s="51"/>
      <c r="G1066" s="52"/>
      <c r="H1066" s="53">
        <v>31.381471742440773</v>
      </c>
    </row>
    <row r="1067" spans="3:8" ht="15.75">
      <c r="C1067" s="49" t="s">
        <v>24</v>
      </c>
      <c r="D1067" s="50"/>
      <c r="E1067" s="50"/>
      <c r="F1067" s="51"/>
      <c r="G1067" s="52"/>
      <c r="H1067" s="36">
        <v>158.77000000000001</v>
      </c>
    </row>
    <row r="1068" spans="3:8" ht="15.75">
      <c r="C1068" s="84"/>
      <c r="D1068" s="84"/>
      <c r="E1068" s="84"/>
      <c r="F1068" s="85"/>
      <c r="G1068" s="84"/>
      <c r="H1068" s="86"/>
    </row>
    <row r="1069" spans="3:8">
      <c r="C1069" s="5" t="s">
        <v>1</v>
      </c>
      <c r="D1069" s="6" t="s">
        <v>201</v>
      </c>
      <c r="E1069" s="6"/>
      <c r="F1069" s="7"/>
      <c r="G1069" s="8"/>
      <c r="H1069" s="9"/>
    </row>
    <row r="1070" spans="3:8">
      <c r="C1070" s="10" t="s">
        <v>3</v>
      </c>
      <c r="D1070" s="11" t="s">
        <v>202</v>
      </c>
      <c r="E1070" s="12"/>
      <c r="F1070" s="13" t="s">
        <v>5</v>
      </c>
      <c r="G1070" s="14" t="s">
        <v>177</v>
      </c>
      <c r="H1070" s="15">
        <v>35.6</v>
      </c>
    </row>
    <row r="1071" spans="3:8">
      <c r="C1071" s="16" t="s">
        <v>7</v>
      </c>
      <c r="D1071" s="16" t="s">
        <v>8</v>
      </c>
      <c r="E1071" s="16" t="s">
        <v>9</v>
      </c>
      <c r="F1071" s="17" t="s">
        <v>10</v>
      </c>
      <c r="G1071" s="18" t="s">
        <v>11</v>
      </c>
      <c r="H1071" s="18" t="s">
        <v>12</v>
      </c>
    </row>
    <row r="1072" spans="3:8">
      <c r="C1072" s="16"/>
      <c r="D1072" s="16"/>
      <c r="E1072" s="16"/>
      <c r="F1072" s="17"/>
      <c r="G1072" s="19"/>
      <c r="H1072" s="19"/>
    </row>
    <row r="1073" spans="3:8">
      <c r="C1073" s="20" t="s">
        <v>13</v>
      </c>
      <c r="D1073" s="21" t="s">
        <v>14</v>
      </c>
      <c r="E1073" s="22"/>
      <c r="F1073" s="23"/>
      <c r="G1073" s="24"/>
      <c r="H1073" s="25"/>
    </row>
    <row r="1074" spans="3:8">
      <c r="C1074" s="22" t="s">
        <v>27</v>
      </c>
      <c r="D1074" s="48" t="s">
        <v>196</v>
      </c>
      <c r="E1074" s="22" t="s">
        <v>29</v>
      </c>
      <c r="F1074" s="43">
        <v>0.15</v>
      </c>
      <c r="G1074" s="29">
        <v>115.62851926460858</v>
      </c>
      <c r="H1074" s="30">
        <v>17.344277889691288</v>
      </c>
    </row>
    <row r="1075" spans="3:8">
      <c r="C1075" s="22" t="s">
        <v>27</v>
      </c>
      <c r="D1075" s="48" t="s">
        <v>170</v>
      </c>
      <c r="E1075" s="22" t="s">
        <v>29</v>
      </c>
      <c r="F1075" s="43">
        <v>0.15</v>
      </c>
      <c r="G1075" s="29">
        <v>57.709977237362267</v>
      </c>
      <c r="H1075" s="30">
        <v>8.656496585604339</v>
      </c>
    </row>
    <row r="1076" spans="3:8">
      <c r="C1076" s="22"/>
      <c r="D1076" s="27"/>
      <c r="E1076" s="22"/>
      <c r="F1076" s="64"/>
      <c r="G1076" s="29"/>
      <c r="H1076" s="30"/>
    </row>
    <row r="1077" spans="3:8">
      <c r="C1077" s="22"/>
      <c r="D1077" s="27"/>
      <c r="E1077" s="22"/>
      <c r="F1077" s="95"/>
      <c r="G1077" s="29"/>
      <c r="H1077" s="30"/>
    </row>
    <row r="1078" spans="3:8">
      <c r="C1078" s="22"/>
      <c r="D1078" s="48"/>
      <c r="E1078" s="22"/>
      <c r="F1078" s="43"/>
      <c r="G1078" s="29">
        <v>0</v>
      </c>
      <c r="H1078" s="30">
        <v>0</v>
      </c>
    </row>
    <row r="1079" spans="3:8">
      <c r="C1079" s="26"/>
      <c r="D1079" s="48"/>
      <c r="E1079" s="22"/>
      <c r="F1079" s="43"/>
      <c r="G1079" s="29">
        <v>0</v>
      </c>
      <c r="H1079" s="30">
        <v>0</v>
      </c>
    </row>
    <row r="1080" spans="3:8">
      <c r="C1080" s="26"/>
      <c r="D1080" s="48"/>
      <c r="E1080" s="22"/>
      <c r="F1080" s="57"/>
      <c r="G1080" s="29">
        <v>0</v>
      </c>
      <c r="H1080" s="30">
        <v>0</v>
      </c>
    </row>
    <row r="1081" spans="3:8">
      <c r="C1081" s="34" t="s">
        <v>15</v>
      </c>
      <c r="D1081" s="34"/>
      <c r="E1081" s="34"/>
      <c r="F1081" s="35"/>
      <c r="G1081" s="34"/>
      <c r="H1081" s="36">
        <v>26.000774475295628</v>
      </c>
    </row>
    <row r="1082" spans="3:8">
      <c r="C1082" s="37" t="s">
        <v>16</v>
      </c>
      <c r="D1082" s="38" t="s">
        <v>17</v>
      </c>
      <c r="E1082" s="39"/>
      <c r="F1082" s="40"/>
      <c r="G1082" s="41"/>
      <c r="H1082" s="41"/>
    </row>
    <row r="1083" spans="3:8">
      <c r="C1083" s="22" t="s">
        <v>31</v>
      </c>
      <c r="D1083" s="77" t="s">
        <v>114</v>
      </c>
      <c r="E1083" s="22" t="s">
        <v>6</v>
      </c>
      <c r="F1083" s="78">
        <v>0.48750000000000004</v>
      </c>
      <c r="G1083" s="45">
        <v>2.6000774475295629</v>
      </c>
      <c r="H1083" s="44">
        <v>1.267537755670662</v>
      </c>
    </row>
    <row r="1084" spans="3:8">
      <c r="C1084" s="22"/>
      <c r="D1084" s="58"/>
      <c r="E1084" s="22"/>
      <c r="F1084" s="93"/>
      <c r="G1084" s="30">
        <v>0</v>
      </c>
      <c r="H1084" s="44">
        <v>0</v>
      </c>
    </row>
    <row r="1085" spans="3:8">
      <c r="C1085" s="22"/>
      <c r="D1085" s="58"/>
      <c r="E1085" s="22"/>
      <c r="F1085" s="94"/>
      <c r="G1085" s="30">
        <v>0</v>
      </c>
      <c r="H1085" s="44">
        <v>0</v>
      </c>
    </row>
    <row r="1086" spans="3:8">
      <c r="C1086" s="22"/>
      <c r="D1086" s="58"/>
      <c r="E1086" s="22"/>
      <c r="F1086" s="23"/>
      <c r="G1086" s="30">
        <v>0</v>
      </c>
      <c r="H1086" s="44">
        <v>0</v>
      </c>
    </row>
    <row r="1087" spans="3:8">
      <c r="C1087" s="22"/>
      <c r="D1087" s="58"/>
      <c r="E1087" s="22"/>
      <c r="F1087" s="23"/>
      <c r="G1087" s="30">
        <v>0</v>
      </c>
      <c r="H1087" s="44">
        <v>0</v>
      </c>
    </row>
    <row r="1088" spans="3:8">
      <c r="C1088" s="22"/>
      <c r="D1088" s="58"/>
      <c r="E1088" s="22"/>
      <c r="F1088" s="23"/>
      <c r="G1088" s="30">
        <v>0</v>
      </c>
      <c r="H1088" s="44">
        <v>0</v>
      </c>
    </row>
    <row r="1089" spans="3:8">
      <c r="C1089" s="22"/>
      <c r="D1089" s="58"/>
      <c r="E1089" s="22"/>
      <c r="F1089" s="23"/>
      <c r="G1089" s="45">
        <v>0</v>
      </c>
      <c r="H1089" s="44">
        <v>0</v>
      </c>
    </row>
    <row r="1090" spans="3:8">
      <c r="C1090" s="22"/>
      <c r="D1090" s="27"/>
      <c r="E1090" s="22"/>
      <c r="F1090" s="32"/>
      <c r="G1090" s="30">
        <v>0</v>
      </c>
      <c r="H1090" s="44">
        <v>0</v>
      </c>
    </row>
    <row r="1091" spans="3:8">
      <c r="C1091" s="34" t="s">
        <v>18</v>
      </c>
      <c r="D1091" s="34"/>
      <c r="E1091" s="34"/>
      <c r="F1091" s="35"/>
      <c r="G1091" s="34"/>
      <c r="H1091" s="36">
        <v>1.267537755670662</v>
      </c>
    </row>
    <row r="1092" spans="3:8">
      <c r="C1092" s="37" t="s">
        <v>19</v>
      </c>
      <c r="D1092" s="38" t="s">
        <v>20</v>
      </c>
      <c r="E1092" s="39"/>
      <c r="F1092" s="46"/>
      <c r="G1092" s="47"/>
      <c r="H1092" s="47">
        <v>0</v>
      </c>
    </row>
    <row r="1093" spans="3:8">
      <c r="C1093" s="28" t="s">
        <v>55</v>
      </c>
      <c r="D1093" s="48" t="s">
        <v>183</v>
      </c>
      <c r="E1093" s="28" t="s">
        <v>6</v>
      </c>
      <c r="F1093" s="23">
        <v>1</v>
      </c>
      <c r="G1093" s="33">
        <v>1.298</v>
      </c>
      <c r="H1093" s="33">
        <v>1.298</v>
      </c>
    </row>
    <row r="1094" spans="3:8">
      <c r="C1094" s="28"/>
      <c r="D1094" s="48"/>
      <c r="E1094" s="28"/>
      <c r="F1094" s="23"/>
      <c r="G1094" s="33">
        <v>0</v>
      </c>
      <c r="H1094" s="33">
        <v>0</v>
      </c>
    </row>
    <row r="1095" spans="3:8">
      <c r="C1095" s="28"/>
      <c r="D1095" s="48"/>
      <c r="E1095" s="28"/>
      <c r="F1095" s="23"/>
      <c r="G1095" s="33">
        <v>0</v>
      </c>
      <c r="H1095" s="44">
        <v>0</v>
      </c>
    </row>
    <row r="1096" spans="3:8">
      <c r="C1096" s="28"/>
      <c r="D1096" s="48"/>
      <c r="E1096" s="28"/>
      <c r="F1096" s="23"/>
      <c r="G1096" s="33">
        <v>0</v>
      </c>
      <c r="H1096" s="44">
        <v>0</v>
      </c>
    </row>
    <row r="1097" spans="3:8">
      <c r="C1097" s="28"/>
      <c r="D1097" s="48"/>
      <c r="E1097" s="28"/>
      <c r="F1097" s="23"/>
      <c r="G1097" s="33">
        <v>0</v>
      </c>
      <c r="H1097" s="44">
        <v>0</v>
      </c>
    </row>
    <row r="1098" spans="3:8">
      <c r="C1098" s="28"/>
      <c r="D1098" s="48"/>
      <c r="E1098" s="28"/>
      <c r="F1098" s="23"/>
      <c r="G1098" s="33">
        <v>0</v>
      </c>
      <c r="H1098" s="44">
        <v>0</v>
      </c>
    </row>
    <row r="1099" spans="3:8">
      <c r="C1099" s="28"/>
      <c r="D1099" s="92"/>
      <c r="E1099" s="28"/>
      <c r="F1099" s="23"/>
      <c r="G1099" s="33">
        <v>0</v>
      </c>
      <c r="H1099" s="44">
        <v>0</v>
      </c>
    </row>
    <row r="1100" spans="3:8">
      <c r="C1100" s="28"/>
      <c r="D1100" s="48"/>
      <c r="E1100" s="28"/>
      <c r="F1100" s="23"/>
      <c r="G1100" s="33">
        <v>0</v>
      </c>
      <c r="H1100" s="44">
        <v>0</v>
      </c>
    </row>
    <row r="1101" spans="3:8">
      <c r="C1101" s="34" t="s">
        <v>21</v>
      </c>
      <c r="D1101" s="34"/>
      <c r="E1101" s="34"/>
      <c r="F1101" s="35"/>
      <c r="G1101" s="34"/>
      <c r="H1101" s="36">
        <v>1.298</v>
      </c>
    </row>
    <row r="1102" spans="3:8" ht="15.75">
      <c r="C1102" s="49" t="s">
        <v>22</v>
      </c>
      <c r="D1102" s="50"/>
      <c r="E1102" s="50"/>
      <c r="F1102" s="51"/>
      <c r="G1102" s="52"/>
      <c r="H1102" s="36">
        <v>28.56631223096629</v>
      </c>
    </row>
    <row r="1103" spans="3:8" ht="15.75">
      <c r="C1103" s="49" t="s">
        <v>23</v>
      </c>
      <c r="D1103" s="50"/>
      <c r="E1103" s="50"/>
      <c r="F1103" s="51"/>
      <c r="G1103" s="52"/>
      <c r="H1103" s="53">
        <v>7.0373518747622654</v>
      </c>
    </row>
    <row r="1104" spans="3:8" ht="15.75">
      <c r="C1104" s="49" t="s">
        <v>24</v>
      </c>
      <c r="D1104" s="50"/>
      <c r="E1104" s="50"/>
      <c r="F1104" s="51"/>
      <c r="G1104" s="52"/>
      <c r="H1104" s="36">
        <v>35.6</v>
      </c>
    </row>
    <row r="1105" spans="3:8" ht="15.75">
      <c r="C1105" s="84"/>
      <c r="D1105" s="84"/>
      <c r="E1105" s="84"/>
      <c r="F1105" s="85"/>
      <c r="G1105" s="84"/>
      <c r="H1105" s="86"/>
    </row>
    <row r="1106" spans="3:8">
      <c r="C1106" s="5" t="s">
        <v>1</v>
      </c>
      <c r="D1106" s="6" t="s">
        <v>203</v>
      </c>
      <c r="E1106" s="6"/>
      <c r="F1106" s="7"/>
      <c r="G1106" s="8"/>
      <c r="H1106" s="9"/>
    </row>
    <row r="1107" spans="3:8">
      <c r="C1107" s="10" t="s">
        <v>3</v>
      </c>
      <c r="D1107" s="11" t="s">
        <v>204</v>
      </c>
      <c r="E1107" s="12"/>
      <c r="F1107" s="13" t="s">
        <v>5</v>
      </c>
      <c r="G1107" s="14" t="s">
        <v>205</v>
      </c>
      <c r="H1107" s="15">
        <v>560.86</v>
      </c>
    </row>
    <row r="1108" spans="3:8">
      <c r="C1108" s="16" t="s">
        <v>7</v>
      </c>
      <c r="D1108" s="16" t="s">
        <v>8</v>
      </c>
      <c r="E1108" s="16" t="s">
        <v>9</v>
      </c>
      <c r="F1108" s="17" t="s">
        <v>10</v>
      </c>
      <c r="G1108" s="18" t="s">
        <v>11</v>
      </c>
      <c r="H1108" s="18" t="s">
        <v>12</v>
      </c>
    </row>
    <row r="1109" spans="3:8">
      <c r="C1109" s="16"/>
      <c r="D1109" s="16"/>
      <c r="E1109" s="16"/>
      <c r="F1109" s="17"/>
      <c r="G1109" s="19"/>
      <c r="H1109" s="19"/>
    </row>
    <row r="1110" spans="3:8">
      <c r="C1110" s="20" t="s">
        <v>13</v>
      </c>
      <c r="D1110" s="21" t="s">
        <v>14</v>
      </c>
      <c r="E1110" s="22"/>
      <c r="F1110" s="23"/>
      <c r="G1110" s="24"/>
      <c r="H1110" s="25"/>
    </row>
    <row r="1111" spans="3:8">
      <c r="C1111" s="22"/>
      <c r="D1111" s="48" t="s">
        <v>206</v>
      </c>
      <c r="E1111" s="28"/>
      <c r="F1111" s="23"/>
      <c r="G1111" s="33"/>
      <c r="H1111" s="30">
        <v>0</v>
      </c>
    </row>
    <row r="1112" spans="3:8">
      <c r="C1112" s="22" t="s">
        <v>112</v>
      </c>
      <c r="D1112" s="48" t="s">
        <v>203</v>
      </c>
      <c r="E1112" s="28" t="s">
        <v>37</v>
      </c>
      <c r="F1112" s="23">
        <v>1</v>
      </c>
      <c r="G1112" s="33">
        <v>450</v>
      </c>
      <c r="H1112" s="30">
        <v>450</v>
      </c>
    </row>
    <row r="1113" spans="3:8">
      <c r="C1113" s="22"/>
      <c r="D1113" s="27"/>
      <c r="E1113" s="22"/>
      <c r="F1113" s="64"/>
      <c r="G1113" s="29">
        <v>0</v>
      </c>
      <c r="H1113" s="30">
        <v>0</v>
      </c>
    </row>
    <row r="1114" spans="3:8">
      <c r="C1114" s="22"/>
      <c r="D1114" s="27"/>
      <c r="E1114" s="22"/>
      <c r="F1114" s="95"/>
      <c r="G1114" s="29">
        <v>0</v>
      </c>
      <c r="H1114" s="30">
        <v>0</v>
      </c>
    </row>
    <row r="1115" spans="3:8">
      <c r="C1115" s="22"/>
      <c r="D1115" s="48"/>
      <c r="E1115" s="22"/>
      <c r="F1115" s="43"/>
      <c r="G1115" s="29">
        <v>0</v>
      </c>
      <c r="H1115" s="30">
        <v>0</v>
      </c>
    </row>
    <row r="1116" spans="3:8">
      <c r="C1116" s="26"/>
      <c r="D1116" s="48"/>
      <c r="E1116" s="22"/>
      <c r="F1116" s="43"/>
      <c r="G1116" s="29">
        <v>0</v>
      </c>
      <c r="H1116" s="30">
        <v>0</v>
      </c>
    </row>
    <row r="1117" spans="3:8">
      <c r="C1117" s="26"/>
      <c r="D1117" s="48"/>
      <c r="E1117" s="22"/>
      <c r="F1117" s="57"/>
      <c r="G1117" s="29">
        <v>0</v>
      </c>
      <c r="H1117" s="30">
        <v>0</v>
      </c>
    </row>
    <row r="1118" spans="3:8">
      <c r="C1118" s="34" t="s">
        <v>15</v>
      </c>
      <c r="D1118" s="34"/>
      <c r="E1118" s="34"/>
      <c r="F1118" s="35"/>
      <c r="G1118" s="34"/>
      <c r="H1118" s="36">
        <v>450</v>
      </c>
    </row>
    <row r="1119" spans="3:8">
      <c r="C1119" s="37" t="s">
        <v>16</v>
      </c>
      <c r="D1119" s="38" t="s">
        <v>17</v>
      </c>
      <c r="E1119" s="39"/>
      <c r="F1119" s="40"/>
      <c r="G1119" s="41"/>
      <c r="H1119" s="41"/>
    </row>
    <row r="1120" spans="3:8">
      <c r="C1120" s="22"/>
      <c r="D1120" s="58"/>
      <c r="E1120" s="22"/>
      <c r="F1120" s="93"/>
      <c r="G1120" s="30">
        <v>0</v>
      </c>
      <c r="H1120" s="44">
        <v>0</v>
      </c>
    </row>
    <row r="1121" spans="3:8">
      <c r="C1121" s="22"/>
      <c r="D1121" s="58"/>
      <c r="E1121" s="22"/>
      <c r="F1121" s="93"/>
      <c r="G1121" s="30">
        <v>0</v>
      </c>
      <c r="H1121" s="44">
        <v>0</v>
      </c>
    </row>
    <row r="1122" spans="3:8">
      <c r="C1122" s="22"/>
      <c r="D1122" s="58"/>
      <c r="E1122" s="22"/>
      <c r="F1122" s="94"/>
      <c r="G1122" s="30">
        <v>0</v>
      </c>
      <c r="H1122" s="44">
        <v>0</v>
      </c>
    </row>
    <row r="1123" spans="3:8">
      <c r="C1123" s="22"/>
      <c r="D1123" s="58"/>
      <c r="E1123" s="22"/>
      <c r="F1123" s="93"/>
      <c r="G1123" s="30">
        <v>0</v>
      </c>
      <c r="H1123" s="44">
        <v>0</v>
      </c>
    </row>
    <row r="1124" spans="3:8">
      <c r="C1124" s="22"/>
      <c r="D1124" s="58"/>
      <c r="E1124" s="22"/>
      <c r="F1124" s="23"/>
      <c r="G1124" s="30">
        <v>0</v>
      </c>
      <c r="H1124" s="44">
        <v>0</v>
      </c>
    </row>
    <row r="1125" spans="3:8">
      <c r="C1125" s="22"/>
      <c r="D1125" s="58"/>
      <c r="E1125" s="22"/>
      <c r="F1125" s="23"/>
      <c r="G1125" s="30">
        <v>0</v>
      </c>
      <c r="H1125" s="44">
        <v>0</v>
      </c>
    </row>
    <row r="1126" spans="3:8">
      <c r="C1126" s="22"/>
      <c r="D1126" s="58"/>
      <c r="E1126" s="22"/>
      <c r="F1126" s="23"/>
      <c r="G1126" s="45">
        <v>0</v>
      </c>
      <c r="H1126" s="44">
        <v>0</v>
      </c>
    </row>
    <row r="1127" spans="3:8">
      <c r="C1127" s="22"/>
      <c r="D1127" s="27"/>
      <c r="E1127" s="22"/>
      <c r="F1127" s="32"/>
      <c r="G1127" s="30">
        <v>0</v>
      </c>
      <c r="H1127" s="44">
        <v>0</v>
      </c>
    </row>
    <row r="1128" spans="3:8">
      <c r="C1128" s="34" t="s">
        <v>18</v>
      </c>
      <c r="D1128" s="34"/>
      <c r="E1128" s="34"/>
      <c r="F1128" s="35"/>
      <c r="G1128" s="34"/>
      <c r="H1128" s="36">
        <v>0</v>
      </c>
    </row>
    <row r="1129" spans="3:8">
      <c r="C1129" s="37" t="s">
        <v>19</v>
      </c>
      <c r="D1129" s="38" t="s">
        <v>20</v>
      </c>
      <c r="E1129" s="39"/>
      <c r="F1129" s="46"/>
      <c r="G1129" s="47"/>
      <c r="H1129" s="47">
        <v>0</v>
      </c>
    </row>
    <row r="1130" spans="3:8">
      <c r="C1130" s="28"/>
      <c r="D1130" s="48"/>
      <c r="E1130" s="28"/>
      <c r="F1130" s="23"/>
      <c r="G1130" s="33">
        <v>0</v>
      </c>
      <c r="H1130" s="33">
        <v>0</v>
      </c>
    </row>
    <row r="1131" spans="3:8">
      <c r="C1131" s="28"/>
      <c r="D1131" s="48"/>
      <c r="E1131" s="28"/>
      <c r="F1131" s="23"/>
      <c r="G1131" s="33">
        <v>0</v>
      </c>
      <c r="H1131" s="33">
        <v>0</v>
      </c>
    </row>
    <row r="1132" spans="3:8">
      <c r="C1132" s="28"/>
      <c r="D1132" s="48"/>
      <c r="E1132" s="28"/>
      <c r="F1132" s="23"/>
      <c r="G1132" s="33">
        <v>0</v>
      </c>
      <c r="H1132" s="44">
        <v>0</v>
      </c>
    </row>
    <row r="1133" spans="3:8">
      <c r="C1133" s="28"/>
      <c r="D1133" s="48"/>
      <c r="E1133" s="28"/>
      <c r="F1133" s="23"/>
      <c r="G1133" s="33">
        <v>0</v>
      </c>
      <c r="H1133" s="44">
        <v>0</v>
      </c>
    </row>
    <row r="1134" spans="3:8">
      <c r="C1134" s="28"/>
      <c r="D1134" s="48"/>
      <c r="E1134" s="28"/>
      <c r="F1134" s="23"/>
      <c r="G1134" s="33">
        <v>0</v>
      </c>
      <c r="H1134" s="44">
        <v>0</v>
      </c>
    </row>
    <row r="1135" spans="3:8">
      <c r="C1135" s="28"/>
      <c r="D1135" s="48"/>
      <c r="E1135" s="28"/>
      <c r="F1135" s="23"/>
      <c r="G1135" s="33">
        <v>0</v>
      </c>
      <c r="H1135" s="44">
        <v>0</v>
      </c>
    </row>
    <row r="1136" spans="3:8">
      <c r="C1136" s="28"/>
      <c r="D1136" s="92"/>
      <c r="E1136" s="28"/>
      <c r="F1136" s="23"/>
      <c r="G1136" s="33">
        <v>0</v>
      </c>
      <c r="H1136" s="44">
        <v>0</v>
      </c>
    </row>
    <row r="1137" spans="3:8">
      <c r="C1137" s="28"/>
      <c r="D1137" s="48"/>
      <c r="E1137" s="28"/>
      <c r="F1137" s="23"/>
      <c r="G1137" s="33">
        <v>0</v>
      </c>
      <c r="H1137" s="44">
        <v>0</v>
      </c>
    </row>
    <row r="1138" spans="3:8">
      <c r="C1138" s="34" t="s">
        <v>21</v>
      </c>
      <c r="D1138" s="34"/>
      <c r="E1138" s="34"/>
      <c r="F1138" s="35"/>
      <c r="G1138" s="34"/>
      <c r="H1138" s="36">
        <v>0</v>
      </c>
    </row>
    <row r="1139" spans="3:8" ht="15.75">
      <c r="C1139" s="49" t="s">
        <v>22</v>
      </c>
      <c r="D1139" s="50"/>
      <c r="E1139" s="50"/>
      <c r="F1139" s="51"/>
      <c r="G1139" s="52"/>
      <c r="H1139" s="36">
        <v>450</v>
      </c>
    </row>
    <row r="1140" spans="3:8" ht="15.75">
      <c r="C1140" s="49" t="s">
        <v>23</v>
      </c>
      <c r="D1140" s="50"/>
      <c r="E1140" s="50"/>
      <c r="F1140" s="51"/>
      <c r="G1140" s="52"/>
      <c r="H1140" s="53">
        <v>110.85814360770566</v>
      </c>
    </row>
    <row r="1141" spans="3:8" ht="15.75">
      <c r="C1141" s="49" t="s">
        <v>24</v>
      </c>
      <c r="D1141" s="50"/>
      <c r="E1141" s="50"/>
      <c r="F1141" s="51"/>
      <c r="G1141" s="52"/>
      <c r="H1141" s="36">
        <v>560.86</v>
      </c>
    </row>
    <row r="1142" spans="3:8" ht="15.75">
      <c r="C1142" s="84"/>
      <c r="D1142" s="84"/>
      <c r="E1142" s="84"/>
      <c r="F1142" s="85"/>
      <c r="G1142" s="84"/>
      <c r="H1142" s="86"/>
    </row>
    <row r="1143" spans="3:8">
      <c r="C1143" s="5" t="s">
        <v>1</v>
      </c>
      <c r="D1143" s="6" t="s">
        <v>207</v>
      </c>
      <c r="E1143" s="6"/>
      <c r="F1143" s="7"/>
      <c r="G1143" s="8"/>
      <c r="H1143" s="9"/>
    </row>
    <row r="1144" spans="3:8">
      <c r="C1144" s="10" t="s">
        <v>3</v>
      </c>
      <c r="D1144" s="11" t="s">
        <v>208</v>
      </c>
      <c r="E1144" s="12"/>
      <c r="F1144" s="13" t="s">
        <v>5</v>
      </c>
      <c r="G1144" s="14" t="s">
        <v>177</v>
      </c>
      <c r="H1144" s="15">
        <v>32.909999999999997</v>
      </c>
    </row>
    <row r="1145" spans="3:8">
      <c r="C1145" s="16" t="s">
        <v>7</v>
      </c>
      <c r="D1145" s="16" t="s">
        <v>8</v>
      </c>
      <c r="E1145" s="16" t="s">
        <v>9</v>
      </c>
      <c r="F1145" s="17" t="s">
        <v>10</v>
      </c>
      <c r="G1145" s="18" t="s">
        <v>11</v>
      </c>
      <c r="H1145" s="18" t="s">
        <v>12</v>
      </c>
    </row>
    <row r="1146" spans="3:8">
      <c r="C1146" s="16"/>
      <c r="D1146" s="16"/>
      <c r="E1146" s="16"/>
      <c r="F1146" s="17"/>
      <c r="G1146" s="19"/>
      <c r="H1146" s="19"/>
    </row>
    <row r="1147" spans="3:8">
      <c r="C1147" s="20" t="s">
        <v>13</v>
      </c>
      <c r="D1147" s="21" t="s">
        <v>14</v>
      </c>
      <c r="E1147" s="22"/>
      <c r="F1147" s="23"/>
      <c r="G1147" s="24"/>
      <c r="H1147" s="25"/>
    </row>
    <row r="1148" spans="3:8">
      <c r="C1148" s="22"/>
      <c r="D1148" s="54"/>
      <c r="E1148" s="22"/>
      <c r="F1148" s="96"/>
      <c r="G1148" s="29"/>
      <c r="H1148" s="30">
        <v>0</v>
      </c>
    </row>
    <row r="1149" spans="3:8">
      <c r="C1149" s="22"/>
      <c r="D1149" s="48"/>
      <c r="E1149" s="22"/>
      <c r="F1149" s="96"/>
      <c r="G1149" s="29"/>
      <c r="H1149" s="30">
        <v>0</v>
      </c>
    </row>
    <row r="1150" spans="3:8">
      <c r="C1150" s="22" t="s">
        <v>27</v>
      </c>
      <c r="D1150" s="27" t="s">
        <v>196</v>
      </c>
      <c r="E1150" s="22" t="s">
        <v>29</v>
      </c>
      <c r="F1150" s="64">
        <v>0.22155780092298999</v>
      </c>
      <c r="G1150" s="29">
        <v>115.62851926460858</v>
      </c>
      <c r="H1150" s="30">
        <v>25.618400452248263</v>
      </c>
    </row>
    <row r="1151" spans="3:8">
      <c r="C1151" s="22"/>
      <c r="D1151" s="27"/>
      <c r="E1151" s="22"/>
      <c r="F1151" s="95"/>
      <c r="G1151" s="29"/>
      <c r="H1151" s="30"/>
    </row>
    <row r="1152" spans="3:8">
      <c r="C1152" s="22"/>
      <c r="D1152" s="48"/>
      <c r="E1152" s="22"/>
      <c r="F1152" s="43"/>
      <c r="G1152" s="29">
        <v>0</v>
      </c>
      <c r="H1152" s="30">
        <v>0</v>
      </c>
    </row>
    <row r="1153" spans="3:8">
      <c r="C1153" s="26"/>
      <c r="D1153" s="48"/>
      <c r="E1153" s="22"/>
      <c r="F1153" s="43"/>
      <c r="G1153" s="29">
        <v>0</v>
      </c>
      <c r="H1153" s="30">
        <v>0</v>
      </c>
    </row>
    <row r="1154" spans="3:8">
      <c r="C1154" s="26"/>
      <c r="D1154" s="48"/>
      <c r="E1154" s="22"/>
      <c r="F1154" s="57"/>
      <c r="G1154" s="29">
        <v>0</v>
      </c>
      <c r="H1154" s="30">
        <v>0</v>
      </c>
    </row>
    <row r="1155" spans="3:8">
      <c r="C1155" s="34" t="s">
        <v>15</v>
      </c>
      <c r="D1155" s="34"/>
      <c r="E1155" s="34"/>
      <c r="F1155" s="35"/>
      <c r="G1155" s="34"/>
      <c r="H1155" s="36">
        <v>25.618400452248263</v>
      </c>
    </row>
    <row r="1156" spans="3:8">
      <c r="C1156" s="37" t="s">
        <v>16</v>
      </c>
      <c r="D1156" s="38" t="s">
        <v>17</v>
      </c>
      <c r="E1156" s="39"/>
      <c r="F1156" s="40"/>
      <c r="G1156" s="41"/>
      <c r="H1156" s="41"/>
    </row>
    <row r="1157" spans="3:8">
      <c r="C1157" s="22"/>
      <c r="D1157" s="58"/>
      <c r="E1157" s="22"/>
      <c r="F1157" s="94"/>
      <c r="G1157" s="45"/>
      <c r="H1157" s="44"/>
    </row>
    <row r="1158" spans="3:8">
      <c r="C1158" s="22"/>
      <c r="D1158" s="58"/>
      <c r="E1158" s="22"/>
      <c r="F1158" s="93"/>
      <c r="G1158" s="30">
        <v>0</v>
      </c>
      <c r="H1158" s="44">
        <v>0</v>
      </c>
    </row>
    <row r="1159" spans="3:8">
      <c r="C1159" s="22"/>
      <c r="D1159" s="58"/>
      <c r="E1159" s="22"/>
      <c r="F1159" s="94"/>
      <c r="G1159" s="30">
        <v>0</v>
      </c>
      <c r="H1159" s="44">
        <v>0</v>
      </c>
    </row>
    <row r="1160" spans="3:8">
      <c r="C1160" s="22"/>
      <c r="D1160" s="58"/>
      <c r="E1160" s="22"/>
      <c r="F1160" s="23"/>
      <c r="G1160" s="30">
        <v>0</v>
      </c>
      <c r="H1160" s="44">
        <v>0</v>
      </c>
    </row>
    <row r="1161" spans="3:8">
      <c r="C1161" s="22"/>
      <c r="D1161" s="58"/>
      <c r="E1161" s="22"/>
      <c r="F1161" s="23"/>
      <c r="G1161" s="30">
        <v>0</v>
      </c>
      <c r="H1161" s="44">
        <v>0</v>
      </c>
    </row>
    <row r="1162" spans="3:8">
      <c r="C1162" s="22"/>
      <c r="D1162" s="58"/>
      <c r="E1162" s="22"/>
      <c r="F1162" s="23"/>
      <c r="G1162" s="30">
        <v>0</v>
      </c>
      <c r="H1162" s="44">
        <v>0</v>
      </c>
    </row>
    <row r="1163" spans="3:8">
      <c r="C1163" s="22"/>
      <c r="D1163" s="58"/>
      <c r="E1163" s="22"/>
      <c r="F1163" s="23"/>
      <c r="G1163" s="45">
        <v>0</v>
      </c>
      <c r="H1163" s="44">
        <v>0</v>
      </c>
    </row>
    <row r="1164" spans="3:8">
      <c r="C1164" s="22"/>
      <c r="D1164" s="27"/>
      <c r="E1164" s="22"/>
      <c r="F1164" s="32"/>
      <c r="G1164" s="30">
        <v>0</v>
      </c>
      <c r="H1164" s="44">
        <v>0</v>
      </c>
    </row>
    <row r="1165" spans="3:8">
      <c r="C1165" s="34" t="s">
        <v>18</v>
      </c>
      <c r="D1165" s="34"/>
      <c r="E1165" s="34"/>
      <c r="F1165" s="35"/>
      <c r="G1165" s="34"/>
      <c r="H1165" s="36">
        <v>0</v>
      </c>
    </row>
    <row r="1166" spans="3:8">
      <c r="C1166" s="37" t="s">
        <v>19</v>
      </c>
      <c r="D1166" s="38" t="s">
        <v>20</v>
      </c>
      <c r="E1166" s="39"/>
      <c r="F1166" s="46"/>
      <c r="G1166" s="47"/>
      <c r="H1166" s="47">
        <v>0</v>
      </c>
    </row>
    <row r="1167" spans="3:8">
      <c r="C1167" s="28" t="s">
        <v>55</v>
      </c>
      <c r="D1167" s="48" t="s">
        <v>183</v>
      </c>
      <c r="E1167" s="28" t="s">
        <v>6</v>
      </c>
      <c r="F1167" s="23">
        <v>1</v>
      </c>
      <c r="G1167" s="33">
        <v>0.78469283731439798</v>
      </c>
      <c r="H1167" s="33">
        <v>0.78469283731439798</v>
      </c>
    </row>
    <row r="1168" spans="3:8">
      <c r="C1168" s="28"/>
      <c r="D1168" s="48"/>
      <c r="E1168" s="28"/>
      <c r="F1168" s="23"/>
      <c r="G1168" s="33">
        <v>0</v>
      </c>
      <c r="H1168" s="33">
        <v>0</v>
      </c>
    </row>
    <row r="1169" spans="3:8">
      <c r="C1169" s="28"/>
      <c r="D1169" s="48"/>
      <c r="E1169" s="28"/>
      <c r="F1169" s="23"/>
      <c r="G1169" s="33">
        <v>0</v>
      </c>
      <c r="H1169" s="44">
        <v>0</v>
      </c>
    </row>
    <row r="1170" spans="3:8">
      <c r="C1170" s="28"/>
      <c r="D1170" s="48"/>
      <c r="E1170" s="28"/>
      <c r="F1170" s="23"/>
      <c r="G1170" s="33">
        <v>0</v>
      </c>
      <c r="H1170" s="44">
        <v>0</v>
      </c>
    </row>
    <row r="1171" spans="3:8">
      <c r="C1171" s="28"/>
      <c r="D1171" s="48"/>
      <c r="E1171" s="28"/>
      <c r="F1171" s="23"/>
      <c r="G1171" s="33">
        <v>0</v>
      </c>
      <c r="H1171" s="44">
        <v>0</v>
      </c>
    </row>
    <row r="1172" spans="3:8">
      <c r="C1172" s="28"/>
      <c r="D1172" s="48"/>
      <c r="E1172" s="28"/>
      <c r="F1172" s="23"/>
      <c r="G1172" s="33">
        <v>0</v>
      </c>
      <c r="H1172" s="44">
        <v>0</v>
      </c>
    </row>
    <row r="1173" spans="3:8">
      <c r="C1173" s="28"/>
      <c r="D1173" s="92"/>
      <c r="E1173" s="28"/>
      <c r="F1173" s="23"/>
      <c r="G1173" s="33">
        <v>0</v>
      </c>
      <c r="H1173" s="44">
        <v>0</v>
      </c>
    </row>
    <row r="1174" spans="3:8">
      <c r="C1174" s="28"/>
      <c r="D1174" s="48"/>
      <c r="E1174" s="28"/>
      <c r="F1174" s="23"/>
      <c r="G1174" s="33">
        <v>0</v>
      </c>
      <c r="H1174" s="44">
        <v>0</v>
      </c>
    </row>
    <row r="1175" spans="3:8">
      <c r="C1175" s="34" t="s">
        <v>21</v>
      </c>
      <c r="D1175" s="34"/>
      <c r="E1175" s="34"/>
      <c r="F1175" s="35"/>
      <c r="G1175" s="34"/>
      <c r="H1175" s="36">
        <v>0.78469283731439798</v>
      </c>
    </row>
    <row r="1176" spans="3:8" ht="15.75">
      <c r="C1176" s="49" t="s">
        <v>22</v>
      </c>
      <c r="D1176" s="50"/>
      <c r="E1176" s="50"/>
      <c r="F1176" s="51"/>
      <c r="G1176" s="52"/>
      <c r="H1176" s="36">
        <v>26.403093289562662</v>
      </c>
    </row>
    <row r="1177" spans="3:8" ht="15.75">
      <c r="C1177" s="49" t="s">
        <v>23</v>
      </c>
      <c r="D1177" s="50"/>
      <c r="E1177" s="50"/>
      <c r="F1177" s="51"/>
      <c r="G1177" s="52"/>
      <c r="H1177" s="53">
        <v>6.5044397946266388</v>
      </c>
    </row>
    <row r="1178" spans="3:8" ht="15.75">
      <c r="C1178" s="49" t="s">
        <v>24</v>
      </c>
      <c r="D1178" s="50"/>
      <c r="E1178" s="50"/>
      <c r="F1178" s="51"/>
      <c r="G1178" s="52"/>
      <c r="H1178" s="36">
        <v>32.909999999999997</v>
      </c>
    </row>
    <row r="1179" spans="3:8" ht="15.75">
      <c r="C1179" s="84"/>
      <c r="D1179" s="84"/>
      <c r="E1179" s="84"/>
      <c r="F1179" s="85"/>
      <c r="G1179" s="84"/>
      <c r="H1179" s="86"/>
    </row>
    <row r="1180" spans="3:8">
      <c r="C1180" s="5" t="s">
        <v>1</v>
      </c>
      <c r="D1180" s="6" t="s">
        <v>209</v>
      </c>
      <c r="E1180" s="6"/>
      <c r="F1180" s="7"/>
      <c r="G1180" s="8"/>
      <c r="H1180" s="9"/>
    </row>
    <row r="1181" spans="3:8">
      <c r="C1181" s="10" t="s">
        <v>3</v>
      </c>
      <c r="D1181" s="11" t="s">
        <v>210</v>
      </c>
      <c r="E1181" s="12"/>
      <c r="F1181" s="13" t="s">
        <v>5</v>
      </c>
      <c r="G1181" s="14" t="s">
        <v>177</v>
      </c>
      <c r="H1181" s="15">
        <v>1438.48</v>
      </c>
    </row>
    <row r="1182" spans="3:8">
      <c r="C1182" s="16" t="s">
        <v>7</v>
      </c>
      <c r="D1182" s="16" t="s">
        <v>8</v>
      </c>
      <c r="E1182" s="16" t="s">
        <v>9</v>
      </c>
      <c r="F1182" s="17" t="s">
        <v>10</v>
      </c>
      <c r="G1182" s="18" t="s">
        <v>11</v>
      </c>
      <c r="H1182" s="18" t="s">
        <v>12</v>
      </c>
    </row>
    <row r="1183" spans="3:8">
      <c r="C1183" s="16"/>
      <c r="D1183" s="16"/>
      <c r="E1183" s="16"/>
      <c r="F1183" s="17"/>
      <c r="G1183" s="19"/>
      <c r="H1183" s="19"/>
    </row>
    <row r="1184" spans="3:8">
      <c r="C1184" s="20" t="s">
        <v>13</v>
      </c>
      <c r="D1184" s="21" t="s">
        <v>14</v>
      </c>
      <c r="E1184" s="22"/>
      <c r="F1184" s="23"/>
      <c r="G1184" s="24"/>
      <c r="H1184" s="25"/>
    </row>
    <row r="1185" spans="3:8">
      <c r="C1185" s="22" t="s">
        <v>107</v>
      </c>
      <c r="D1185" s="54" t="s">
        <v>178</v>
      </c>
      <c r="E1185" s="22" t="s">
        <v>29</v>
      </c>
      <c r="F1185" s="43">
        <v>3.93834837639033</v>
      </c>
      <c r="G1185" s="29">
        <v>78.795486071171297</v>
      </c>
      <c r="H1185" s="30">
        <v>310.32407463528432</v>
      </c>
    </row>
    <row r="1186" spans="3:8">
      <c r="C1186" s="22" t="s">
        <v>27</v>
      </c>
      <c r="D1186" s="48" t="s">
        <v>179</v>
      </c>
      <c r="E1186" s="22" t="s">
        <v>29</v>
      </c>
      <c r="F1186" s="43">
        <v>0.88610725133222601</v>
      </c>
      <c r="G1186" s="29">
        <v>45.411750977784656</v>
      </c>
      <c r="H1186" s="30">
        <v>40.239681837108286</v>
      </c>
    </row>
    <row r="1187" spans="3:8">
      <c r="C1187" s="22" t="s">
        <v>107</v>
      </c>
      <c r="D1187" s="48" t="s">
        <v>180</v>
      </c>
      <c r="E1187" s="22" t="s">
        <v>29</v>
      </c>
      <c r="F1187" s="43">
        <v>0.97432753348220602</v>
      </c>
      <c r="G1187" s="29">
        <v>72.442078740927272</v>
      </c>
      <c r="H1187" s="30">
        <v>70.582311899971415</v>
      </c>
    </row>
    <row r="1188" spans="3:8">
      <c r="C1188" s="22" t="s">
        <v>27</v>
      </c>
      <c r="D1188" s="48" t="s">
        <v>138</v>
      </c>
      <c r="E1188" s="22" t="s">
        <v>29</v>
      </c>
      <c r="F1188" s="43">
        <v>0.76120932661538199</v>
      </c>
      <c r="G1188" s="29">
        <v>74.717676591289091</v>
      </c>
      <c r="H1188" s="30">
        <v>56.875792284321058</v>
      </c>
    </row>
    <row r="1189" spans="3:8">
      <c r="C1189" s="22" t="s">
        <v>107</v>
      </c>
      <c r="D1189" s="48" t="s">
        <v>181</v>
      </c>
      <c r="E1189" s="81" t="s">
        <v>29</v>
      </c>
      <c r="F1189" s="43">
        <v>4.7303930263676799</v>
      </c>
      <c r="G1189" s="29">
        <v>106.73171041640566</v>
      </c>
      <c r="H1189" s="30">
        <v>504.88293864605998</v>
      </c>
    </row>
    <row r="1190" spans="3:8">
      <c r="C1190" s="22"/>
      <c r="D1190" s="48"/>
      <c r="E1190" s="22"/>
      <c r="F1190" s="43"/>
      <c r="G1190" s="29">
        <v>0</v>
      </c>
      <c r="H1190" s="30">
        <v>0</v>
      </c>
    </row>
    <row r="1191" spans="3:8">
      <c r="C1191" s="26"/>
      <c r="D1191" s="48"/>
      <c r="E1191" s="22"/>
      <c r="F1191" s="43"/>
      <c r="G1191" s="29">
        <v>0</v>
      </c>
      <c r="H1191" s="30">
        <v>0</v>
      </c>
    </row>
    <row r="1192" spans="3:8">
      <c r="C1192" s="26"/>
      <c r="D1192" s="48"/>
      <c r="E1192" s="22"/>
      <c r="F1192" s="57"/>
      <c r="G1192" s="29">
        <v>0</v>
      </c>
      <c r="H1192" s="30">
        <v>0</v>
      </c>
    </row>
    <row r="1193" spans="3:8">
      <c r="C1193" s="34" t="s">
        <v>15</v>
      </c>
      <c r="D1193" s="34"/>
      <c r="E1193" s="34"/>
      <c r="F1193" s="35"/>
      <c r="G1193" s="34"/>
      <c r="H1193" s="36">
        <v>982.904799302745</v>
      </c>
    </row>
    <row r="1194" spans="3:8">
      <c r="C1194" s="37" t="s">
        <v>16</v>
      </c>
      <c r="D1194" s="38" t="s">
        <v>17</v>
      </c>
      <c r="E1194" s="39"/>
      <c r="F1194" s="40"/>
      <c r="G1194" s="41"/>
      <c r="H1194" s="41"/>
    </row>
    <row r="1195" spans="3:8">
      <c r="C1195" s="22" t="s">
        <v>31</v>
      </c>
      <c r="D1195" s="77" t="s">
        <v>114</v>
      </c>
      <c r="E1195" s="22" t="s">
        <v>6</v>
      </c>
      <c r="F1195" s="78">
        <v>0.48750000000000004</v>
      </c>
      <c r="G1195" s="45">
        <v>68.803335951192153</v>
      </c>
      <c r="H1195" s="44">
        <v>33.541626276206181</v>
      </c>
    </row>
    <row r="1196" spans="3:8">
      <c r="C1196" s="22"/>
      <c r="D1196" s="58"/>
      <c r="E1196" s="22"/>
      <c r="F1196" s="94"/>
      <c r="G1196" s="30">
        <v>0</v>
      </c>
      <c r="H1196" s="44">
        <v>0</v>
      </c>
    </row>
    <row r="1197" spans="3:8">
      <c r="C1197" s="22"/>
      <c r="D1197" s="58"/>
      <c r="E1197" s="22"/>
      <c r="F1197" s="23"/>
      <c r="G1197" s="30">
        <v>0</v>
      </c>
      <c r="H1197" s="44">
        <v>0</v>
      </c>
    </row>
    <row r="1198" spans="3:8">
      <c r="C1198" s="22"/>
      <c r="D1198" s="58"/>
      <c r="E1198" s="22"/>
      <c r="F1198" s="23"/>
      <c r="G1198" s="30">
        <v>0</v>
      </c>
      <c r="H1198" s="44">
        <v>0</v>
      </c>
    </row>
    <row r="1199" spans="3:8">
      <c r="C1199" s="22"/>
      <c r="D1199" s="58"/>
      <c r="E1199" s="22"/>
      <c r="F1199" s="23"/>
      <c r="G1199" s="30">
        <v>0</v>
      </c>
      <c r="H1199" s="44">
        <v>0</v>
      </c>
    </row>
    <row r="1200" spans="3:8">
      <c r="C1200" s="22"/>
      <c r="D1200" s="58"/>
      <c r="E1200" s="22"/>
      <c r="F1200" s="23"/>
      <c r="G1200" s="30">
        <v>0</v>
      </c>
      <c r="H1200" s="44">
        <v>0</v>
      </c>
    </row>
    <row r="1201" spans="3:8">
      <c r="C1201" s="22"/>
      <c r="D1201" s="58"/>
      <c r="E1201" s="22"/>
      <c r="F1201" s="23"/>
      <c r="G1201" s="45">
        <v>0</v>
      </c>
      <c r="H1201" s="44">
        <v>0</v>
      </c>
    </row>
    <row r="1202" spans="3:8">
      <c r="C1202" s="22"/>
      <c r="D1202" s="27"/>
      <c r="E1202" s="22"/>
      <c r="F1202" s="32"/>
      <c r="G1202" s="30">
        <v>0</v>
      </c>
      <c r="H1202" s="44">
        <v>0</v>
      </c>
    </row>
    <row r="1203" spans="3:8">
      <c r="C1203" s="34" t="s">
        <v>18</v>
      </c>
      <c r="D1203" s="34"/>
      <c r="E1203" s="34"/>
      <c r="F1203" s="35"/>
      <c r="G1203" s="34"/>
      <c r="H1203" s="36">
        <v>33.541626276206181</v>
      </c>
    </row>
    <row r="1204" spans="3:8">
      <c r="C1204" s="37" t="s">
        <v>19</v>
      </c>
      <c r="D1204" s="38" t="s">
        <v>20</v>
      </c>
      <c r="E1204" s="39"/>
      <c r="F1204" s="46"/>
      <c r="G1204" s="47"/>
      <c r="H1204" s="47">
        <v>0</v>
      </c>
    </row>
    <row r="1205" spans="3:8">
      <c r="C1205" s="28" t="s">
        <v>55</v>
      </c>
      <c r="D1205" s="48" t="s">
        <v>182</v>
      </c>
      <c r="E1205" s="28" t="s">
        <v>6</v>
      </c>
      <c r="F1205" s="23">
        <v>1</v>
      </c>
      <c r="G1205" s="33">
        <v>57.421783657069497</v>
      </c>
      <c r="H1205" s="33">
        <v>57.421783657069497</v>
      </c>
    </row>
    <row r="1206" spans="3:8">
      <c r="C1206" s="28" t="s">
        <v>55</v>
      </c>
      <c r="D1206" s="48" t="s">
        <v>183</v>
      </c>
      <c r="E1206" s="28" t="s">
        <v>33</v>
      </c>
      <c r="F1206" s="23">
        <v>1</v>
      </c>
      <c r="G1206" s="33">
        <v>80.285547460823196</v>
      </c>
      <c r="H1206" s="33">
        <v>80.285547460823196</v>
      </c>
    </row>
    <row r="1207" spans="3:8">
      <c r="C1207" s="28"/>
      <c r="D1207" s="48"/>
      <c r="E1207" s="28"/>
      <c r="F1207" s="23"/>
      <c r="G1207" s="33">
        <v>0</v>
      </c>
      <c r="H1207" s="44">
        <v>0</v>
      </c>
    </row>
    <row r="1208" spans="3:8">
      <c r="C1208" s="28"/>
      <c r="D1208" s="48"/>
      <c r="E1208" s="28"/>
      <c r="F1208" s="23"/>
      <c r="G1208" s="33">
        <v>0</v>
      </c>
      <c r="H1208" s="44">
        <v>0</v>
      </c>
    </row>
    <row r="1209" spans="3:8">
      <c r="C1209" s="28"/>
      <c r="D1209" s="48"/>
      <c r="E1209" s="28"/>
      <c r="F1209" s="23"/>
      <c r="G1209" s="33">
        <v>0</v>
      </c>
      <c r="H1209" s="44">
        <v>0</v>
      </c>
    </row>
    <row r="1210" spans="3:8">
      <c r="C1210" s="28"/>
      <c r="D1210" s="92"/>
      <c r="E1210" s="28"/>
      <c r="F1210" s="23"/>
      <c r="G1210" s="33">
        <v>0</v>
      </c>
      <c r="H1210" s="44">
        <v>0</v>
      </c>
    </row>
    <row r="1211" spans="3:8">
      <c r="C1211" s="28"/>
      <c r="D1211" s="48"/>
      <c r="E1211" s="28"/>
      <c r="F1211" s="23"/>
      <c r="G1211" s="33">
        <v>0</v>
      </c>
      <c r="H1211" s="44">
        <v>0</v>
      </c>
    </row>
    <row r="1212" spans="3:8">
      <c r="C1212" s="34" t="s">
        <v>21</v>
      </c>
      <c r="D1212" s="34"/>
      <c r="E1212" s="34"/>
      <c r="F1212" s="35"/>
      <c r="G1212" s="34"/>
      <c r="H1212" s="36">
        <v>137.70733111789269</v>
      </c>
    </row>
    <row r="1213" spans="3:8" ht="15.75">
      <c r="C1213" s="49" t="s">
        <v>22</v>
      </c>
      <c r="D1213" s="50"/>
      <c r="E1213" s="50"/>
      <c r="F1213" s="51"/>
      <c r="G1213" s="52"/>
      <c r="H1213" s="36">
        <v>1154.1537566968439</v>
      </c>
    </row>
    <row r="1214" spans="3:8" ht="15.75">
      <c r="C1214" s="49" t="s">
        <v>23</v>
      </c>
      <c r="D1214" s="50"/>
      <c r="E1214" s="50"/>
      <c r="F1214" s="51"/>
      <c r="G1214" s="52"/>
      <c r="H1214" s="53">
        <v>284.32742867838152</v>
      </c>
    </row>
    <row r="1215" spans="3:8" ht="15.75">
      <c r="C1215" s="49" t="s">
        <v>24</v>
      </c>
      <c r="D1215" s="50"/>
      <c r="E1215" s="50"/>
      <c r="F1215" s="51"/>
      <c r="G1215" s="52"/>
      <c r="H1215" s="36">
        <v>1438.48</v>
      </c>
    </row>
    <row r="1216" spans="3:8" ht="15.75">
      <c r="C1216" s="84"/>
      <c r="D1216" s="84"/>
      <c r="E1216" s="84"/>
      <c r="F1216" s="85"/>
      <c r="G1216" s="84"/>
      <c r="H1216" s="86"/>
    </row>
    <row r="1217" spans="3:8" ht="30">
      <c r="C1217" s="5" t="s">
        <v>1</v>
      </c>
      <c r="D1217" s="6" t="s">
        <v>211</v>
      </c>
      <c r="E1217" s="6"/>
      <c r="F1217" s="7"/>
      <c r="G1217" s="8">
        <v>0</v>
      </c>
      <c r="H1217" s="9"/>
    </row>
    <row r="1218" spans="3:8">
      <c r="C1218" s="10" t="s">
        <v>3</v>
      </c>
      <c r="D1218" s="11" t="s">
        <v>212</v>
      </c>
      <c r="E1218" s="12"/>
      <c r="F1218" s="13" t="s">
        <v>5</v>
      </c>
      <c r="G1218" s="14" t="s">
        <v>106</v>
      </c>
      <c r="H1218" s="15">
        <v>37472.06</v>
      </c>
    </row>
    <row r="1219" spans="3:8">
      <c r="C1219" s="16" t="s">
        <v>7</v>
      </c>
      <c r="D1219" s="16" t="s">
        <v>8</v>
      </c>
      <c r="E1219" s="16" t="s">
        <v>9</v>
      </c>
      <c r="F1219" s="17" t="s">
        <v>10</v>
      </c>
      <c r="G1219" s="18">
        <v>0</v>
      </c>
      <c r="H1219" s="18" t="s">
        <v>12</v>
      </c>
    </row>
    <row r="1220" spans="3:8">
      <c r="C1220" s="16"/>
      <c r="D1220" s="16"/>
      <c r="E1220" s="16"/>
      <c r="F1220" s="17"/>
      <c r="G1220" s="19"/>
      <c r="H1220" s="19"/>
    </row>
    <row r="1221" spans="3:8">
      <c r="C1221" s="20" t="s">
        <v>13</v>
      </c>
      <c r="D1221" s="21" t="s">
        <v>14</v>
      </c>
      <c r="E1221" s="22"/>
      <c r="F1221" s="23"/>
      <c r="G1221" s="24"/>
      <c r="H1221" s="25"/>
    </row>
    <row r="1222" spans="3:8">
      <c r="C1222" s="22" t="s">
        <v>27</v>
      </c>
      <c r="D1222" s="54" t="s">
        <v>136</v>
      </c>
      <c r="E1222" s="22" t="s">
        <v>109</v>
      </c>
      <c r="F1222" s="43">
        <v>106.89407414504649</v>
      </c>
      <c r="G1222" s="29">
        <v>90.031958516899593</v>
      </c>
      <c r="H1222" s="30">
        <v>9623.8828491292152</v>
      </c>
    </row>
    <row r="1223" spans="3:8">
      <c r="C1223" s="22" t="s">
        <v>27</v>
      </c>
      <c r="D1223" s="48" t="s">
        <v>28</v>
      </c>
      <c r="E1223" s="22" t="s">
        <v>109</v>
      </c>
      <c r="F1223" s="43">
        <v>97.469791864076896</v>
      </c>
      <c r="G1223" s="29">
        <v>79.456006436582371</v>
      </c>
      <c r="H1223" s="30">
        <v>7744.5604097244377</v>
      </c>
    </row>
    <row r="1224" spans="3:8">
      <c r="C1224" s="22" t="s">
        <v>27</v>
      </c>
      <c r="D1224" s="48" t="s">
        <v>137</v>
      </c>
      <c r="E1224" s="81" t="s">
        <v>109</v>
      </c>
      <c r="F1224" s="87">
        <v>38.387235495034403</v>
      </c>
      <c r="G1224" s="29">
        <v>89.242314887296516</v>
      </c>
      <c r="H1224" s="30">
        <v>3425.7657577006657</v>
      </c>
    </row>
    <row r="1225" spans="3:8">
      <c r="C1225" s="22" t="s">
        <v>27</v>
      </c>
      <c r="D1225" s="48" t="s">
        <v>30</v>
      </c>
      <c r="E1225" s="81" t="s">
        <v>109</v>
      </c>
      <c r="F1225" s="43">
        <v>103.793178035685</v>
      </c>
      <c r="G1225" s="29">
        <v>45.411750977784656</v>
      </c>
      <c r="H1225" s="30">
        <v>4713.4299541493956</v>
      </c>
    </row>
    <row r="1226" spans="3:8">
      <c r="C1226" s="22" t="s">
        <v>27</v>
      </c>
      <c r="D1226" s="48" t="s">
        <v>111</v>
      </c>
      <c r="E1226" s="22" t="s">
        <v>109</v>
      </c>
      <c r="F1226" s="43">
        <v>42.0926563359507</v>
      </c>
      <c r="G1226" s="29">
        <v>52.035429693461786</v>
      </c>
      <c r="H1226" s="30">
        <v>2190.3094593804112</v>
      </c>
    </row>
    <row r="1227" spans="3:8">
      <c r="C1227" s="22"/>
      <c r="D1227" s="48"/>
      <c r="E1227" s="22"/>
      <c r="F1227" s="43"/>
      <c r="G1227" s="29">
        <v>0</v>
      </c>
      <c r="H1227" s="30">
        <v>0</v>
      </c>
    </row>
    <row r="1228" spans="3:8">
      <c r="C1228" s="22"/>
      <c r="D1228" s="48"/>
      <c r="E1228" s="22"/>
      <c r="F1228" s="57"/>
      <c r="G1228" s="29">
        <v>0</v>
      </c>
      <c r="H1228" s="30">
        <v>0</v>
      </c>
    </row>
    <row r="1229" spans="3:8">
      <c r="C1229" s="22"/>
      <c r="D1229" s="89"/>
      <c r="E1229" s="22"/>
      <c r="F1229" s="57"/>
      <c r="G1229" s="29">
        <v>0</v>
      </c>
      <c r="H1229" s="30">
        <v>0</v>
      </c>
    </row>
    <row r="1230" spans="3:8">
      <c r="C1230" s="34" t="s">
        <v>15</v>
      </c>
      <c r="D1230" s="34"/>
      <c r="E1230" s="34"/>
      <c r="F1230" s="35"/>
      <c r="G1230" s="34"/>
      <c r="H1230" s="36">
        <v>27697.948430084125</v>
      </c>
    </row>
    <row r="1231" spans="3:8">
      <c r="C1231" s="37" t="s">
        <v>16</v>
      </c>
      <c r="D1231" s="38" t="s">
        <v>17</v>
      </c>
      <c r="E1231" s="39"/>
      <c r="F1231" s="40"/>
      <c r="G1231" s="41"/>
      <c r="H1231" s="41"/>
    </row>
    <row r="1232" spans="3:8">
      <c r="C1232" s="22" t="s">
        <v>31</v>
      </c>
      <c r="D1232" s="77" t="s">
        <v>139</v>
      </c>
      <c r="E1232" s="22" t="s">
        <v>29</v>
      </c>
      <c r="F1232" s="43">
        <v>3.492626251370285</v>
      </c>
      <c r="G1232" s="45">
        <v>264.0623143694084</v>
      </c>
      <c r="H1232" s="44">
        <v>922.27097116418861</v>
      </c>
    </row>
    <row r="1233" spans="3:8">
      <c r="C1233" s="22" t="s">
        <v>31</v>
      </c>
      <c r="D1233" s="77" t="s">
        <v>114</v>
      </c>
      <c r="E1233" s="22" t="s">
        <v>6</v>
      </c>
      <c r="F1233" s="78">
        <v>0.48750000000000004</v>
      </c>
      <c r="G1233" s="45">
        <v>1384.8974215042062</v>
      </c>
      <c r="H1233" s="44">
        <v>675.1374929833006</v>
      </c>
    </row>
    <row r="1234" spans="3:8">
      <c r="C1234" s="22" t="s">
        <v>31</v>
      </c>
      <c r="D1234" s="58" t="s">
        <v>141</v>
      </c>
      <c r="E1234" s="22" t="s">
        <v>106</v>
      </c>
      <c r="F1234" s="23">
        <v>1.5551692359249329</v>
      </c>
      <c r="G1234" s="45">
        <v>304.92424242424238</v>
      </c>
      <c r="H1234" s="44">
        <v>474.20880110589803</v>
      </c>
    </row>
    <row r="1235" spans="3:8">
      <c r="C1235" s="22"/>
      <c r="D1235" s="58"/>
      <c r="E1235" s="22"/>
      <c r="F1235" s="23"/>
      <c r="G1235" s="45">
        <v>0</v>
      </c>
      <c r="H1235" s="44">
        <v>0</v>
      </c>
    </row>
    <row r="1236" spans="3:8">
      <c r="C1236" s="22"/>
      <c r="D1236" s="58"/>
      <c r="E1236" s="22"/>
      <c r="F1236" s="23"/>
      <c r="G1236" s="30">
        <v>0</v>
      </c>
      <c r="H1236" s="44">
        <v>0</v>
      </c>
    </row>
    <row r="1237" spans="3:8">
      <c r="C1237" s="22"/>
      <c r="D1237" s="58"/>
      <c r="E1237" s="22"/>
      <c r="F1237" s="23"/>
      <c r="G1237" s="45">
        <v>0</v>
      </c>
      <c r="H1237" s="44">
        <v>0</v>
      </c>
    </row>
    <row r="1238" spans="3:8">
      <c r="C1238" s="22"/>
      <c r="D1238" s="27"/>
      <c r="E1238" s="22"/>
      <c r="F1238" s="32"/>
      <c r="G1238" s="30">
        <v>0</v>
      </c>
      <c r="H1238" s="44">
        <v>0</v>
      </c>
    </row>
    <row r="1239" spans="3:8">
      <c r="C1239" s="34" t="s">
        <v>18</v>
      </c>
      <c r="D1239" s="34"/>
      <c r="E1239" s="34"/>
      <c r="F1239" s="35"/>
      <c r="G1239" s="34"/>
      <c r="H1239" s="36">
        <v>2071.6172652533874</v>
      </c>
    </row>
    <row r="1240" spans="3:8">
      <c r="C1240" s="37" t="s">
        <v>19</v>
      </c>
      <c r="D1240" s="38" t="s">
        <v>20</v>
      </c>
      <c r="E1240" s="39"/>
      <c r="F1240" s="46"/>
      <c r="G1240" s="47"/>
      <c r="H1240" s="47">
        <v>0</v>
      </c>
    </row>
    <row r="1241" spans="3:8">
      <c r="C1241" s="28" t="s">
        <v>55</v>
      </c>
      <c r="D1241" s="48" t="s">
        <v>145</v>
      </c>
      <c r="E1241" s="81" t="s">
        <v>33</v>
      </c>
      <c r="F1241" s="43">
        <v>0.65</v>
      </c>
      <c r="G1241" s="29">
        <v>50</v>
      </c>
      <c r="H1241" s="30">
        <v>32.5</v>
      </c>
    </row>
    <row r="1242" spans="3:8">
      <c r="C1242" s="28" t="s">
        <v>55</v>
      </c>
      <c r="D1242" s="48" t="s">
        <v>150</v>
      </c>
      <c r="E1242" s="28" t="s">
        <v>6</v>
      </c>
      <c r="F1242" s="23">
        <v>1</v>
      </c>
      <c r="G1242" s="33">
        <v>153.37506452415499</v>
      </c>
      <c r="H1242" s="30">
        <v>153.37506452415499</v>
      </c>
    </row>
    <row r="1243" spans="3:8">
      <c r="C1243" s="28" t="s">
        <v>55</v>
      </c>
      <c r="D1243" s="48" t="s">
        <v>151</v>
      </c>
      <c r="E1243" s="28" t="s">
        <v>6</v>
      </c>
      <c r="F1243" s="23">
        <v>0.5</v>
      </c>
      <c r="G1243" s="33">
        <v>219.92292225201072</v>
      </c>
      <c r="H1243" s="44">
        <v>109.96146112600536</v>
      </c>
    </row>
    <row r="1244" spans="3:8">
      <c r="C1244" s="28"/>
      <c r="D1244" s="48"/>
      <c r="E1244" s="28"/>
      <c r="F1244" s="23"/>
      <c r="G1244" s="33">
        <v>0</v>
      </c>
      <c r="H1244" s="44">
        <v>0</v>
      </c>
    </row>
    <row r="1245" spans="3:8">
      <c r="C1245" s="28"/>
      <c r="D1245" s="48"/>
      <c r="E1245" s="28"/>
      <c r="F1245" s="23"/>
      <c r="G1245" s="33">
        <v>0</v>
      </c>
      <c r="H1245" s="44">
        <v>0</v>
      </c>
    </row>
    <row r="1246" spans="3:8">
      <c r="C1246" s="28"/>
      <c r="D1246" s="48"/>
      <c r="E1246" s="28"/>
      <c r="F1246" s="23"/>
      <c r="G1246" s="33">
        <v>0</v>
      </c>
      <c r="H1246" s="44">
        <v>0</v>
      </c>
    </row>
    <row r="1247" spans="3:8">
      <c r="C1247" s="28"/>
      <c r="D1247" s="92"/>
      <c r="E1247" s="28"/>
      <c r="F1247" s="23"/>
      <c r="G1247" s="33">
        <v>0</v>
      </c>
      <c r="H1247" s="44">
        <v>0</v>
      </c>
    </row>
    <row r="1248" spans="3:8">
      <c r="C1248" s="28"/>
      <c r="D1248" s="48"/>
      <c r="E1248" s="28"/>
      <c r="F1248" s="23"/>
      <c r="G1248" s="33">
        <v>0</v>
      </c>
      <c r="H1248" s="44">
        <v>0</v>
      </c>
    </row>
    <row r="1249" spans="3:8">
      <c r="C1249" s="34" t="s">
        <v>21</v>
      </c>
      <c r="D1249" s="34"/>
      <c r="E1249" s="34"/>
      <c r="F1249" s="35"/>
      <c r="G1249" s="34"/>
      <c r="H1249" s="36">
        <v>295.83652565016035</v>
      </c>
    </row>
    <row r="1250" spans="3:8" ht="15.75">
      <c r="C1250" s="49" t="s">
        <v>22</v>
      </c>
      <c r="D1250" s="50"/>
      <c r="E1250" s="50"/>
      <c r="F1250" s="51"/>
      <c r="G1250" s="52"/>
      <c r="H1250" s="36">
        <v>30065.402220987671</v>
      </c>
    </row>
    <row r="1251" spans="3:8" ht="15.75">
      <c r="C1251" s="49" t="s">
        <v>23</v>
      </c>
      <c r="D1251" s="50"/>
      <c r="E1251" s="50"/>
      <c r="F1251" s="51"/>
      <c r="G1251" s="52"/>
      <c r="H1251" s="53">
        <v>7406.6548378615198</v>
      </c>
    </row>
    <row r="1252" spans="3:8" ht="15.75">
      <c r="C1252" s="49" t="s">
        <v>24</v>
      </c>
      <c r="D1252" s="50"/>
      <c r="E1252" s="50"/>
      <c r="F1252" s="51"/>
      <c r="G1252" s="52"/>
      <c r="H1252" s="36">
        <v>37472.06</v>
      </c>
    </row>
    <row r="1253" spans="3:8" ht="15.75">
      <c r="C1253" s="84"/>
      <c r="D1253" s="84"/>
      <c r="E1253" s="84"/>
      <c r="F1253" s="85"/>
      <c r="G1253" s="84"/>
      <c r="H1253" s="86"/>
    </row>
    <row r="1254" spans="3:8" ht="30">
      <c r="C1254" s="5" t="s">
        <v>1</v>
      </c>
      <c r="D1254" s="6" t="s">
        <v>213</v>
      </c>
      <c r="E1254" s="6"/>
      <c r="F1254" s="7"/>
      <c r="G1254" s="8"/>
      <c r="H1254" s="9"/>
    </row>
    <row r="1255" spans="3:8">
      <c r="C1255" s="10" t="s">
        <v>3</v>
      </c>
      <c r="D1255" s="11" t="s">
        <v>214</v>
      </c>
      <c r="E1255" s="12"/>
      <c r="F1255" s="13" t="s">
        <v>5</v>
      </c>
      <c r="G1255" s="14" t="s">
        <v>106</v>
      </c>
      <c r="H1255" s="15">
        <v>37075.699999999997</v>
      </c>
    </row>
    <row r="1256" spans="3:8">
      <c r="C1256" s="16" t="s">
        <v>7</v>
      </c>
      <c r="D1256" s="16" t="s">
        <v>8</v>
      </c>
      <c r="E1256" s="16" t="s">
        <v>9</v>
      </c>
      <c r="F1256" s="17" t="s">
        <v>10</v>
      </c>
      <c r="G1256" s="18" t="s">
        <v>11</v>
      </c>
      <c r="H1256" s="18" t="s">
        <v>12</v>
      </c>
    </row>
    <row r="1257" spans="3:8">
      <c r="C1257" s="16"/>
      <c r="D1257" s="16"/>
      <c r="E1257" s="16"/>
      <c r="F1257" s="17"/>
      <c r="G1257" s="19"/>
      <c r="H1257" s="19"/>
    </row>
    <row r="1258" spans="3:8">
      <c r="C1258" s="20" t="s">
        <v>13</v>
      </c>
      <c r="D1258" s="21" t="s">
        <v>14</v>
      </c>
      <c r="E1258" s="22"/>
      <c r="F1258" s="23"/>
      <c r="G1258" s="24"/>
      <c r="H1258" s="25"/>
    </row>
    <row r="1259" spans="3:8">
      <c r="C1259" s="22" t="s">
        <v>27</v>
      </c>
      <c r="D1259" s="54" t="s">
        <v>136</v>
      </c>
      <c r="E1259" s="22" t="s">
        <v>109</v>
      </c>
      <c r="F1259" s="43">
        <v>103.4458782048837</v>
      </c>
      <c r="G1259" s="29">
        <v>90.031958516899593</v>
      </c>
      <c r="H1259" s="30">
        <v>9313.4350152863371</v>
      </c>
    </row>
    <row r="1260" spans="3:8">
      <c r="C1260" s="22" t="s">
        <v>27</v>
      </c>
      <c r="D1260" s="48" t="s">
        <v>28</v>
      </c>
      <c r="E1260" s="22" t="s">
        <v>109</v>
      </c>
      <c r="F1260" s="43">
        <v>97.469791864076896</v>
      </c>
      <c r="G1260" s="29">
        <v>79.456006436582371</v>
      </c>
      <c r="H1260" s="30">
        <v>7744.5604097244377</v>
      </c>
    </row>
    <row r="1261" spans="3:8">
      <c r="C1261" s="22" t="s">
        <v>27</v>
      </c>
      <c r="D1261" s="48" t="s">
        <v>137</v>
      </c>
      <c r="E1261" s="81" t="s">
        <v>109</v>
      </c>
      <c r="F1261" s="87">
        <v>38.387235495034403</v>
      </c>
      <c r="G1261" s="29">
        <v>89.242314887296516</v>
      </c>
      <c r="H1261" s="30">
        <v>3425.7657577006657</v>
      </c>
    </row>
    <row r="1262" spans="3:8">
      <c r="C1262" s="22" t="s">
        <v>27</v>
      </c>
      <c r="D1262" s="48" t="s">
        <v>30</v>
      </c>
      <c r="E1262" s="81" t="s">
        <v>109</v>
      </c>
      <c r="F1262" s="43">
        <v>103.793178035685</v>
      </c>
      <c r="G1262" s="29">
        <v>45.411750977784656</v>
      </c>
      <c r="H1262" s="30">
        <v>4713.4299541493956</v>
      </c>
    </row>
    <row r="1263" spans="3:8">
      <c r="C1263" s="22" t="s">
        <v>27</v>
      </c>
      <c r="D1263" s="48" t="s">
        <v>111</v>
      </c>
      <c r="E1263" s="22" t="s">
        <v>109</v>
      </c>
      <c r="F1263" s="43">
        <v>42.0926563359507</v>
      </c>
      <c r="G1263" s="29">
        <v>52.035429693461786</v>
      </c>
      <c r="H1263" s="30">
        <v>2190.3094593804112</v>
      </c>
    </row>
    <row r="1264" spans="3:8">
      <c r="C1264" s="22"/>
      <c r="D1264" s="48"/>
      <c r="E1264" s="22"/>
      <c r="F1264" s="43"/>
      <c r="G1264" s="29">
        <v>0</v>
      </c>
      <c r="H1264" s="30">
        <v>0</v>
      </c>
    </row>
    <row r="1265" spans="3:8">
      <c r="C1265" s="26"/>
      <c r="D1265" s="48"/>
      <c r="E1265" s="22"/>
      <c r="F1265" s="57"/>
      <c r="G1265" s="29">
        <v>0</v>
      </c>
      <c r="H1265" s="30">
        <v>0</v>
      </c>
    </row>
    <row r="1266" spans="3:8">
      <c r="C1266" s="34" t="s">
        <v>15</v>
      </c>
      <c r="D1266" s="34"/>
      <c r="E1266" s="34"/>
      <c r="F1266" s="35"/>
      <c r="G1266" s="34"/>
      <c r="H1266" s="36">
        <v>27387.500596241251</v>
      </c>
    </row>
    <row r="1267" spans="3:8">
      <c r="C1267" s="37" t="s">
        <v>16</v>
      </c>
      <c r="D1267" s="38" t="s">
        <v>17</v>
      </c>
      <c r="E1267" s="39"/>
      <c r="F1267" s="40"/>
      <c r="G1267" s="41"/>
      <c r="H1267" s="41"/>
    </row>
    <row r="1268" spans="3:8">
      <c r="C1268" s="22" t="s">
        <v>31</v>
      </c>
      <c r="D1268" s="77" t="s">
        <v>139</v>
      </c>
      <c r="E1268" s="22" t="s">
        <v>29</v>
      </c>
      <c r="F1268" s="43">
        <v>3.492626251370285</v>
      </c>
      <c r="G1268" s="45">
        <v>264.0623143694084</v>
      </c>
      <c r="H1268" s="44">
        <v>922.27097116418861</v>
      </c>
    </row>
    <row r="1269" spans="3:8">
      <c r="C1269" s="22" t="s">
        <v>31</v>
      </c>
      <c r="D1269" s="77" t="s">
        <v>114</v>
      </c>
      <c r="E1269" s="22" t="s">
        <v>6</v>
      </c>
      <c r="F1269" s="78">
        <v>0.48750000000000004</v>
      </c>
      <c r="G1269" s="45">
        <v>1369.3750298120626</v>
      </c>
      <c r="H1269" s="44">
        <v>667.57032703338064</v>
      </c>
    </row>
    <row r="1270" spans="3:8">
      <c r="C1270" s="22" t="s">
        <v>31</v>
      </c>
      <c r="D1270" s="58" t="s">
        <v>141</v>
      </c>
      <c r="E1270" s="22" t="s">
        <v>106</v>
      </c>
      <c r="F1270" s="23">
        <v>1.5551692359249329</v>
      </c>
      <c r="G1270" s="45">
        <v>304.92424242424238</v>
      </c>
      <c r="H1270" s="44">
        <v>474.20880110589803</v>
      </c>
    </row>
    <row r="1271" spans="3:8">
      <c r="C1271" s="22"/>
      <c r="D1271" s="58"/>
      <c r="E1271" s="22"/>
      <c r="F1271" s="23"/>
      <c r="G1271" s="45"/>
      <c r="H1271" s="44">
        <v>0</v>
      </c>
    </row>
    <row r="1272" spans="3:8">
      <c r="C1272" s="22"/>
      <c r="D1272" s="58"/>
      <c r="E1272" s="22"/>
      <c r="F1272" s="23"/>
      <c r="G1272" s="30">
        <v>0</v>
      </c>
      <c r="H1272" s="44">
        <v>0</v>
      </c>
    </row>
    <row r="1273" spans="3:8">
      <c r="C1273" s="22"/>
      <c r="D1273" s="58"/>
      <c r="E1273" s="22"/>
      <c r="F1273" s="23"/>
      <c r="G1273" s="45">
        <v>0</v>
      </c>
      <c r="H1273" s="44">
        <v>0</v>
      </c>
    </row>
    <row r="1274" spans="3:8">
      <c r="C1274" s="22"/>
      <c r="D1274" s="27"/>
      <c r="E1274" s="22"/>
      <c r="F1274" s="32"/>
      <c r="G1274" s="30">
        <v>0</v>
      </c>
      <c r="H1274" s="44">
        <v>0</v>
      </c>
    </row>
    <row r="1275" spans="3:8">
      <c r="C1275" s="34" t="s">
        <v>18</v>
      </c>
      <c r="D1275" s="34"/>
      <c r="E1275" s="34"/>
      <c r="F1275" s="35"/>
      <c r="G1275" s="34"/>
      <c r="H1275" s="36">
        <v>2064.0500993034675</v>
      </c>
    </row>
    <row r="1276" spans="3:8">
      <c r="C1276" s="37" t="s">
        <v>19</v>
      </c>
      <c r="D1276" s="38" t="s">
        <v>20</v>
      </c>
      <c r="E1276" s="39"/>
      <c r="F1276" s="46"/>
      <c r="G1276" s="47"/>
      <c r="H1276" s="47">
        <v>0</v>
      </c>
    </row>
    <row r="1277" spans="3:8">
      <c r="C1277" s="28" t="s">
        <v>55</v>
      </c>
      <c r="D1277" s="48" t="s">
        <v>145</v>
      </c>
      <c r="E1277" s="81" t="s">
        <v>33</v>
      </c>
      <c r="F1277" s="43">
        <v>0.65</v>
      </c>
      <c r="G1277" s="29">
        <v>50</v>
      </c>
      <c r="H1277" s="33">
        <v>32.5</v>
      </c>
    </row>
    <row r="1278" spans="3:8">
      <c r="C1278" s="28" t="s">
        <v>55</v>
      </c>
      <c r="D1278" s="48" t="s">
        <v>150</v>
      </c>
      <c r="E1278" s="28" t="s">
        <v>6</v>
      </c>
      <c r="F1278" s="23">
        <v>1</v>
      </c>
      <c r="G1278" s="33">
        <v>153.37506452415499</v>
      </c>
      <c r="H1278" s="33">
        <v>153.37506452415499</v>
      </c>
    </row>
    <row r="1279" spans="3:8">
      <c r="C1279" s="28" t="s">
        <v>55</v>
      </c>
      <c r="D1279" s="48" t="s">
        <v>151</v>
      </c>
      <c r="E1279" s="28" t="s">
        <v>6</v>
      </c>
      <c r="F1279" s="23">
        <v>0.5</v>
      </c>
      <c r="G1279" s="33">
        <v>219.92292225201072</v>
      </c>
      <c r="H1279" s="44">
        <v>109.96146112600536</v>
      </c>
    </row>
    <row r="1280" spans="3:8">
      <c r="C1280" s="28"/>
      <c r="D1280" s="48"/>
      <c r="E1280" s="28"/>
      <c r="F1280" s="23"/>
      <c r="G1280" s="33"/>
      <c r="H1280" s="44">
        <v>0</v>
      </c>
    </row>
    <row r="1281" spans="3:8">
      <c r="C1281" s="28"/>
      <c r="D1281" s="48"/>
      <c r="E1281" s="28"/>
      <c r="F1281" s="23"/>
      <c r="G1281" s="33"/>
      <c r="H1281" s="44">
        <v>0</v>
      </c>
    </row>
    <row r="1282" spans="3:8">
      <c r="C1282" s="28"/>
      <c r="D1282" s="48"/>
      <c r="E1282" s="28"/>
      <c r="F1282" s="23"/>
      <c r="G1282" s="33"/>
      <c r="H1282" s="44">
        <v>0</v>
      </c>
    </row>
    <row r="1283" spans="3:8">
      <c r="C1283" s="28"/>
      <c r="D1283" s="92"/>
      <c r="E1283" s="28"/>
      <c r="F1283" s="23"/>
      <c r="G1283" s="33">
        <v>0</v>
      </c>
      <c r="H1283" s="44">
        <v>0</v>
      </c>
    </row>
    <row r="1284" spans="3:8">
      <c r="C1284" s="28"/>
      <c r="D1284" s="48"/>
      <c r="E1284" s="28"/>
      <c r="F1284" s="23"/>
      <c r="G1284" s="33">
        <v>0</v>
      </c>
      <c r="H1284" s="44">
        <v>0</v>
      </c>
    </row>
    <row r="1285" spans="3:8">
      <c r="C1285" s="34" t="s">
        <v>21</v>
      </c>
      <c r="D1285" s="34"/>
      <c r="E1285" s="34"/>
      <c r="F1285" s="35"/>
      <c r="G1285" s="34"/>
      <c r="H1285" s="36">
        <v>295.83652565016035</v>
      </c>
    </row>
    <row r="1286" spans="3:8" ht="15.75">
      <c r="C1286" s="49" t="s">
        <v>22</v>
      </c>
      <c r="D1286" s="50"/>
      <c r="E1286" s="50"/>
      <c r="F1286" s="51"/>
      <c r="G1286" s="52"/>
      <c r="H1286" s="36">
        <v>29747.387221194876</v>
      </c>
    </row>
    <row r="1287" spans="3:8" ht="15.75">
      <c r="C1287" s="49" t="s">
        <v>23</v>
      </c>
      <c r="D1287" s="50"/>
      <c r="E1287" s="50"/>
      <c r="F1287" s="51"/>
      <c r="G1287" s="52"/>
      <c r="H1287" s="53">
        <v>7328.3113878249997</v>
      </c>
    </row>
    <row r="1288" spans="3:8" ht="15.75">
      <c r="C1288" s="49" t="s">
        <v>24</v>
      </c>
      <c r="D1288" s="50"/>
      <c r="E1288" s="50"/>
      <c r="F1288" s="51"/>
      <c r="G1288" s="52"/>
      <c r="H1288" s="36">
        <v>37075.699999999997</v>
      </c>
    </row>
    <row r="1289" spans="3:8" ht="15.75">
      <c r="C1289" s="84"/>
      <c r="D1289" s="84"/>
      <c r="E1289" s="84"/>
      <c r="F1289" s="85"/>
      <c r="G1289" s="84"/>
      <c r="H1289" s="86"/>
    </row>
    <row r="1290" spans="3:8" ht="30">
      <c r="C1290" s="5" t="s">
        <v>1</v>
      </c>
      <c r="D1290" s="6" t="s">
        <v>215</v>
      </c>
      <c r="E1290" s="6"/>
      <c r="F1290" s="7"/>
      <c r="G1290" s="8"/>
      <c r="H1290" s="9"/>
    </row>
    <row r="1291" spans="3:8">
      <c r="C1291" s="10" t="s">
        <v>3</v>
      </c>
      <c r="D1291" s="11" t="s">
        <v>216</v>
      </c>
      <c r="E1291" s="12"/>
      <c r="F1291" s="13" t="s">
        <v>5</v>
      </c>
      <c r="G1291" s="14" t="s">
        <v>106</v>
      </c>
      <c r="H1291" s="15">
        <v>19203.45</v>
      </c>
    </row>
    <row r="1292" spans="3:8">
      <c r="C1292" s="16" t="s">
        <v>7</v>
      </c>
      <c r="D1292" s="16" t="s">
        <v>8</v>
      </c>
      <c r="E1292" s="16" t="s">
        <v>9</v>
      </c>
      <c r="F1292" s="17" t="s">
        <v>10</v>
      </c>
      <c r="G1292" s="18" t="s">
        <v>11</v>
      </c>
      <c r="H1292" s="18" t="s">
        <v>12</v>
      </c>
    </row>
    <row r="1293" spans="3:8">
      <c r="C1293" s="16"/>
      <c r="D1293" s="16"/>
      <c r="E1293" s="16"/>
      <c r="F1293" s="17"/>
      <c r="G1293" s="19"/>
      <c r="H1293" s="19"/>
    </row>
    <row r="1294" spans="3:8">
      <c r="C1294" s="20" t="s">
        <v>13</v>
      </c>
      <c r="D1294" s="21" t="s">
        <v>14</v>
      </c>
      <c r="E1294" s="22"/>
      <c r="F1294" s="23"/>
      <c r="G1294" s="24"/>
      <c r="H1294" s="25"/>
    </row>
    <row r="1295" spans="3:8">
      <c r="C1295" s="22" t="s">
        <v>27</v>
      </c>
      <c r="D1295" s="54" t="s">
        <v>136</v>
      </c>
      <c r="E1295" s="22" t="s">
        <v>109</v>
      </c>
      <c r="F1295" s="43">
        <v>45.975945868837293</v>
      </c>
      <c r="G1295" s="29">
        <v>90.031958516899593</v>
      </c>
      <c r="H1295" s="30">
        <v>4139.3044512383804</v>
      </c>
    </row>
    <row r="1296" spans="3:8">
      <c r="C1296" s="22" t="s">
        <v>27</v>
      </c>
      <c r="D1296" s="48" t="s">
        <v>28</v>
      </c>
      <c r="E1296" s="22" t="s">
        <v>109</v>
      </c>
      <c r="F1296" s="43">
        <v>43.319907495145301</v>
      </c>
      <c r="G1296" s="29">
        <v>79.456006436582371</v>
      </c>
      <c r="H1296" s="30">
        <v>3442.026848766418</v>
      </c>
    </row>
    <row r="1297" spans="3:8">
      <c r="C1297" s="22" t="s">
        <v>27</v>
      </c>
      <c r="D1297" s="48" t="s">
        <v>137</v>
      </c>
      <c r="E1297" s="81" t="s">
        <v>109</v>
      </c>
      <c r="F1297" s="87">
        <v>17.060993553348599</v>
      </c>
      <c r="G1297" s="29">
        <v>89.242314887296516</v>
      </c>
      <c r="H1297" s="30">
        <v>1522.5625589780716</v>
      </c>
    </row>
    <row r="1298" spans="3:8">
      <c r="C1298" s="22" t="s">
        <v>27</v>
      </c>
      <c r="D1298" s="48" t="s">
        <v>30</v>
      </c>
      <c r="E1298" s="81" t="s">
        <v>109</v>
      </c>
      <c r="F1298" s="43">
        <v>46.130301349193601</v>
      </c>
      <c r="G1298" s="29">
        <v>45.411750977784656</v>
      </c>
      <c r="H1298" s="30">
        <v>2094.8577573997436</v>
      </c>
    </row>
    <row r="1299" spans="3:8">
      <c r="C1299" s="22" t="s">
        <v>27</v>
      </c>
      <c r="D1299" s="48" t="s">
        <v>111</v>
      </c>
      <c r="E1299" s="22" t="s">
        <v>109</v>
      </c>
      <c r="F1299" s="43">
        <v>42.0926563359507</v>
      </c>
      <c r="G1299" s="29">
        <v>52.035429693461786</v>
      </c>
      <c r="H1299" s="30">
        <v>2190.3094593804112</v>
      </c>
    </row>
    <row r="1300" spans="3:8">
      <c r="C1300" s="22"/>
      <c r="D1300" s="48"/>
      <c r="E1300" s="22"/>
      <c r="F1300" s="43"/>
      <c r="G1300" s="29">
        <v>0</v>
      </c>
      <c r="H1300" s="30">
        <v>0</v>
      </c>
    </row>
    <row r="1301" spans="3:8">
      <c r="C1301" s="26"/>
      <c r="D1301" s="48"/>
      <c r="E1301" s="22"/>
      <c r="F1301" s="57"/>
      <c r="G1301" s="29">
        <v>0</v>
      </c>
      <c r="H1301" s="30">
        <v>0</v>
      </c>
    </row>
    <row r="1302" spans="3:8">
      <c r="C1302" s="34" t="s">
        <v>15</v>
      </c>
      <c r="D1302" s="34"/>
      <c r="E1302" s="34"/>
      <c r="F1302" s="35"/>
      <c r="G1302" s="34"/>
      <c r="H1302" s="36">
        <v>13389.061075763026</v>
      </c>
    </row>
    <row r="1303" spans="3:8">
      <c r="C1303" s="37" t="s">
        <v>16</v>
      </c>
      <c r="D1303" s="38" t="s">
        <v>17</v>
      </c>
      <c r="E1303" s="39"/>
      <c r="F1303" s="40"/>
      <c r="G1303" s="41"/>
      <c r="H1303" s="41"/>
    </row>
    <row r="1304" spans="3:8">
      <c r="C1304" s="22" t="s">
        <v>31</v>
      </c>
      <c r="D1304" s="77" t="s">
        <v>139</v>
      </c>
      <c r="E1304" s="22" t="s">
        <v>29</v>
      </c>
      <c r="F1304" s="43">
        <v>3.492626251370285</v>
      </c>
      <c r="G1304" s="45">
        <v>264.0623143694084</v>
      </c>
      <c r="H1304" s="44">
        <v>922.27097116418861</v>
      </c>
    </row>
    <row r="1305" spans="3:8">
      <c r="C1305" s="22" t="s">
        <v>31</v>
      </c>
      <c r="D1305" s="77" t="s">
        <v>114</v>
      </c>
      <c r="E1305" s="22" t="s">
        <v>6</v>
      </c>
      <c r="F1305" s="78">
        <v>0.48750000000000004</v>
      </c>
      <c r="G1305" s="45">
        <v>669.45305378815135</v>
      </c>
      <c r="H1305" s="44">
        <v>326.35836372172383</v>
      </c>
    </row>
    <row r="1306" spans="3:8">
      <c r="C1306" s="22" t="s">
        <v>31</v>
      </c>
      <c r="D1306" s="58" t="s">
        <v>141</v>
      </c>
      <c r="E1306" s="22" t="s">
        <v>106</v>
      </c>
      <c r="F1306" s="23">
        <v>1.5551692359249329</v>
      </c>
      <c r="G1306" s="45">
        <v>304.92424242424238</v>
      </c>
      <c r="H1306" s="44">
        <v>474.20880110589803</v>
      </c>
    </row>
    <row r="1307" spans="3:8">
      <c r="C1307" s="22"/>
      <c r="D1307" s="58"/>
      <c r="E1307" s="22"/>
      <c r="F1307" s="23"/>
      <c r="G1307" s="45"/>
      <c r="H1307" s="44">
        <v>0</v>
      </c>
    </row>
    <row r="1308" spans="3:8">
      <c r="C1308" s="22"/>
      <c r="D1308" s="58"/>
      <c r="E1308" s="22"/>
      <c r="F1308" s="23"/>
      <c r="G1308" s="30">
        <v>0</v>
      </c>
      <c r="H1308" s="44">
        <v>0</v>
      </c>
    </row>
    <row r="1309" spans="3:8">
      <c r="C1309" s="22"/>
      <c r="D1309" s="58"/>
      <c r="E1309" s="22"/>
      <c r="F1309" s="23"/>
      <c r="G1309" s="45">
        <v>0</v>
      </c>
      <c r="H1309" s="44">
        <v>0</v>
      </c>
    </row>
    <row r="1310" spans="3:8">
      <c r="C1310" s="22"/>
      <c r="D1310" s="27"/>
      <c r="E1310" s="22"/>
      <c r="F1310" s="32"/>
      <c r="G1310" s="30">
        <v>0</v>
      </c>
      <c r="H1310" s="44">
        <v>0</v>
      </c>
    </row>
    <row r="1311" spans="3:8">
      <c r="C1311" s="34" t="s">
        <v>18</v>
      </c>
      <c r="D1311" s="34"/>
      <c r="E1311" s="34"/>
      <c r="F1311" s="35"/>
      <c r="G1311" s="34"/>
      <c r="H1311" s="36">
        <v>1722.8381359918103</v>
      </c>
    </row>
    <row r="1312" spans="3:8">
      <c r="C1312" s="37" t="s">
        <v>19</v>
      </c>
      <c r="D1312" s="38" t="s">
        <v>20</v>
      </c>
      <c r="E1312" s="39"/>
      <c r="F1312" s="46"/>
      <c r="G1312" s="47"/>
      <c r="H1312" s="47">
        <v>0</v>
      </c>
    </row>
    <row r="1313" spans="3:8">
      <c r="C1313" s="28" t="s">
        <v>55</v>
      </c>
      <c r="D1313" s="48" t="s">
        <v>145</v>
      </c>
      <c r="E1313" s="81" t="s">
        <v>33</v>
      </c>
      <c r="F1313" s="43">
        <v>0.65</v>
      </c>
      <c r="G1313" s="29">
        <v>50</v>
      </c>
      <c r="H1313" s="33">
        <v>32.5</v>
      </c>
    </row>
    <row r="1314" spans="3:8">
      <c r="C1314" s="28" t="s">
        <v>55</v>
      </c>
      <c r="D1314" s="48" t="s">
        <v>150</v>
      </c>
      <c r="E1314" s="28" t="s">
        <v>6</v>
      </c>
      <c r="F1314" s="23">
        <v>1</v>
      </c>
      <c r="G1314" s="33">
        <v>153.37506452415499</v>
      </c>
      <c r="H1314" s="33">
        <v>153.37506452415499</v>
      </c>
    </row>
    <row r="1315" spans="3:8">
      <c r="C1315" s="28" t="s">
        <v>55</v>
      </c>
      <c r="D1315" s="48" t="s">
        <v>151</v>
      </c>
      <c r="E1315" s="28" t="s">
        <v>6</v>
      </c>
      <c r="F1315" s="23">
        <v>0.5</v>
      </c>
      <c r="G1315" s="33">
        <v>219.92292225201072</v>
      </c>
      <c r="H1315" s="44">
        <v>109.96146112600536</v>
      </c>
    </row>
    <row r="1316" spans="3:8">
      <c r="C1316" s="28"/>
      <c r="D1316" s="48"/>
      <c r="E1316" s="28"/>
      <c r="F1316" s="23"/>
      <c r="G1316" s="33">
        <v>0</v>
      </c>
      <c r="H1316" s="44">
        <v>0</v>
      </c>
    </row>
    <row r="1317" spans="3:8">
      <c r="C1317" s="28"/>
      <c r="D1317" s="48"/>
      <c r="E1317" s="28"/>
      <c r="F1317" s="23"/>
      <c r="G1317" s="33">
        <v>0</v>
      </c>
      <c r="H1317" s="44">
        <v>0</v>
      </c>
    </row>
    <row r="1318" spans="3:8">
      <c r="C1318" s="28"/>
      <c r="D1318" s="48"/>
      <c r="E1318" s="28"/>
      <c r="F1318" s="23"/>
      <c r="G1318" s="33">
        <v>0</v>
      </c>
      <c r="H1318" s="44">
        <v>0</v>
      </c>
    </row>
    <row r="1319" spans="3:8">
      <c r="C1319" s="28"/>
      <c r="D1319" s="92"/>
      <c r="E1319" s="28"/>
      <c r="F1319" s="23"/>
      <c r="G1319" s="33">
        <v>0</v>
      </c>
      <c r="H1319" s="44">
        <v>0</v>
      </c>
    </row>
    <row r="1320" spans="3:8">
      <c r="C1320" s="28"/>
      <c r="D1320" s="48"/>
      <c r="E1320" s="28"/>
      <c r="F1320" s="23"/>
      <c r="G1320" s="33">
        <v>0</v>
      </c>
      <c r="H1320" s="44">
        <v>0</v>
      </c>
    </row>
    <row r="1321" spans="3:8">
      <c r="C1321" s="34" t="s">
        <v>21</v>
      </c>
      <c r="D1321" s="34"/>
      <c r="E1321" s="34"/>
      <c r="F1321" s="35"/>
      <c r="G1321" s="34"/>
      <c r="H1321" s="36">
        <v>295.83652565016035</v>
      </c>
    </row>
    <row r="1322" spans="3:8" ht="15.75">
      <c r="C1322" s="49" t="s">
        <v>22</v>
      </c>
      <c r="D1322" s="50"/>
      <c r="E1322" s="50"/>
      <c r="F1322" s="51"/>
      <c r="G1322" s="52"/>
      <c r="H1322" s="36">
        <v>15407.735737404997</v>
      </c>
    </row>
    <row r="1323" spans="3:8" ht="15.75">
      <c r="C1323" s="49" t="s">
        <v>23</v>
      </c>
      <c r="D1323" s="50"/>
      <c r="E1323" s="50"/>
      <c r="F1323" s="51"/>
      <c r="G1323" s="52"/>
      <c r="H1323" s="53">
        <v>3795.7177356596039</v>
      </c>
    </row>
    <row r="1324" spans="3:8" ht="15.75">
      <c r="C1324" s="49" t="s">
        <v>24</v>
      </c>
      <c r="D1324" s="50"/>
      <c r="E1324" s="50"/>
      <c r="F1324" s="51"/>
      <c r="G1324" s="52"/>
      <c r="H1324" s="36">
        <v>19203.45</v>
      </c>
    </row>
    <row r="1325" spans="3:8" ht="15.75">
      <c r="C1325" s="84"/>
      <c r="D1325" s="84"/>
      <c r="E1325" s="84"/>
      <c r="F1325" s="85"/>
      <c r="G1325" s="84"/>
      <c r="H1325" s="86"/>
    </row>
    <row r="1326" spans="3:8" ht="30">
      <c r="C1326" s="5" t="s">
        <v>1</v>
      </c>
      <c r="D1326" s="6" t="s">
        <v>217</v>
      </c>
      <c r="E1326" s="6"/>
      <c r="F1326" s="7"/>
      <c r="G1326" s="8"/>
      <c r="H1326" s="9"/>
    </row>
    <row r="1327" spans="3:8">
      <c r="C1327" s="10" t="s">
        <v>3</v>
      </c>
      <c r="D1327" s="11" t="s">
        <v>218</v>
      </c>
      <c r="E1327" s="12"/>
      <c r="F1327" s="13" t="s">
        <v>5</v>
      </c>
      <c r="G1327" s="14" t="s">
        <v>106</v>
      </c>
      <c r="H1327" s="15">
        <v>37075.699999999997</v>
      </c>
    </row>
    <row r="1328" spans="3:8">
      <c r="C1328" s="16" t="s">
        <v>7</v>
      </c>
      <c r="D1328" s="16" t="s">
        <v>8</v>
      </c>
      <c r="E1328" s="16" t="s">
        <v>9</v>
      </c>
      <c r="F1328" s="17" t="s">
        <v>10</v>
      </c>
      <c r="G1328" s="18" t="s">
        <v>11</v>
      </c>
      <c r="H1328" s="18" t="s">
        <v>12</v>
      </c>
    </row>
    <row r="1329" spans="3:8">
      <c r="C1329" s="16"/>
      <c r="D1329" s="16"/>
      <c r="E1329" s="16"/>
      <c r="F1329" s="17"/>
      <c r="G1329" s="19"/>
      <c r="H1329" s="19"/>
    </row>
    <row r="1330" spans="3:8">
      <c r="C1330" s="20" t="s">
        <v>13</v>
      </c>
      <c r="D1330" s="21" t="s">
        <v>14</v>
      </c>
      <c r="E1330" s="22"/>
      <c r="F1330" s="23"/>
      <c r="G1330" s="24"/>
      <c r="H1330" s="25"/>
    </row>
    <row r="1331" spans="3:8">
      <c r="C1331" s="22" t="s">
        <v>27</v>
      </c>
      <c r="D1331" s="54" t="s">
        <v>136</v>
      </c>
      <c r="E1331" s="22" t="s">
        <v>109</v>
      </c>
      <c r="F1331" s="43">
        <v>103.4458782048837</v>
      </c>
      <c r="G1331" s="29">
        <v>90.031958516899593</v>
      </c>
      <c r="H1331" s="30">
        <v>9313.4350152863371</v>
      </c>
    </row>
    <row r="1332" spans="3:8">
      <c r="C1332" s="22" t="s">
        <v>27</v>
      </c>
      <c r="D1332" s="48" t="s">
        <v>28</v>
      </c>
      <c r="E1332" s="22" t="s">
        <v>109</v>
      </c>
      <c r="F1332" s="43">
        <v>97.469791864076896</v>
      </c>
      <c r="G1332" s="29">
        <v>79.456006436582371</v>
      </c>
      <c r="H1332" s="30">
        <v>7744.5604097244377</v>
      </c>
    </row>
    <row r="1333" spans="3:8">
      <c r="C1333" s="22" t="s">
        <v>27</v>
      </c>
      <c r="D1333" s="48" t="s">
        <v>137</v>
      </c>
      <c r="E1333" s="81" t="s">
        <v>109</v>
      </c>
      <c r="F1333" s="87">
        <v>38.387235495034403</v>
      </c>
      <c r="G1333" s="29">
        <v>89.242314887296516</v>
      </c>
      <c r="H1333" s="30">
        <v>3425.7657577006657</v>
      </c>
    </row>
    <row r="1334" spans="3:8">
      <c r="C1334" s="22" t="s">
        <v>27</v>
      </c>
      <c r="D1334" s="48" t="s">
        <v>30</v>
      </c>
      <c r="E1334" s="81" t="s">
        <v>109</v>
      </c>
      <c r="F1334" s="43">
        <v>103.793178035685</v>
      </c>
      <c r="G1334" s="29">
        <v>45.411750977784656</v>
      </c>
      <c r="H1334" s="30">
        <v>4713.4299541493956</v>
      </c>
    </row>
    <row r="1335" spans="3:8">
      <c r="C1335" s="22" t="s">
        <v>27</v>
      </c>
      <c r="D1335" s="48" t="s">
        <v>111</v>
      </c>
      <c r="E1335" s="22" t="s">
        <v>109</v>
      </c>
      <c r="F1335" s="43">
        <v>42.0926563359507</v>
      </c>
      <c r="G1335" s="29">
        <v>52.035429693461786</v>
      </c>
      <c r="H1335" s="30">
        <v>2190.3094593804112</v>
      </c>
    </row>
    <row r="1336" spans="3:8">
      <c r="C1336" s="22"/>
      <c r="D1336" s="48"/>
      <c r="E1336" s="22"/>
      <c r="F1336" s="43"/>
      <c r="G1336" s="29">
        <v>0</v>
      </c>
      <c r="H1336" s="30">
        <v>0</v>
      </c>
    </row>
    <row r="1337" spans="3:8">
      <c r="C1337" s="26"/>
      <c r="D1337" s="48"/>
      <c r="E1337" s="22"/>
      <c r="F1337" s="57"/>
      <c r="G1337" s="29">
        <v>0</v>
      </c>
      <c r="H1337" s="30">
        <v>0</v>
      </c>
    </row>
    <row r="1338" spans="3:8">
      <c r="C1338" s="34" t="s">
        <v>15</v>
      </c>
      <c r="D1338" s="34"/>
      <c r="E1338" s="34"/>
      <c r="F1338" s="35"/>
      <c r="G1338" s="34"/>
      <c r="H1338" s="36">
        <v>27387.500596241251</v>
      </c>
    </row>
    <row r="1339" spans="3:8">
      <c r="C1339" s="37" t="s">
        <v>16</v>
      </c>
      <c r="D1339" s="38" t="s">
        <v>17</v>
      </c>
      <c r="E1339" s="39"/>
      <c r="F1339" s="40"/>
      <c r="G1339" s="41"/>
      <c r="H1339" s="41"/>
    </row>
    <row r="1340" spans="3:8">
      <c r="C1340" s="22" t="s">
        <v>31</v>
      </c>
      <c r="D1340" s="77" t="s">
        <v>139</v>
      </c>
      <c r="E1340" s="22" t="s">
        <v>29</v>
      </c>
      <c r="F1340" s="43">
        <v>3.492626251370285</v>
      </c>
      <c r="G1340" s="45">
        <v>264.0623143694084</v>
      </c>
      <c r="H1340" s="44">
        <v>922.27097116418861</v>
      </c>
    </row>
    <row r="1341" spans="3:8">
      <c r="C1341" s="22" t="s">
        <v>31</v>
      </c>
      <c r="D1341" s="77" t="s">
        <v>114</v>
      </c>
      <c r="E1341" s="22" t="s">
        <v>6</v>
      </c>
      <c r="F1341" s="78">
        <v>0.48750000000000004</v>
      </c>
      <c r="G1341" s="45">
        <v>1369.3750298120626</v>
      </c>
      <c r="H1341" s="44">
        <v>667.57032703338064</v>
      </c>
    </row>
    <row r="1342" spans="3:8">
      <c r="C1342" s="22" t="s">
        <v>31</v>
      </c>
      <c r="D1342" s="58" t="s">
        <v>141</v>
      </c>
      <c r="E1342" s="22" t="s">
        <v>106</v>
      </c>
      <c r="F1342" s="23">
        <v>1.5551692359249329</v>
      </c>
      <c r="G1342" s="45">
        <v>304.92424242424238</v>
      </c>
      <c r="H1342" s="44">
        <v>474.20880110589803</v>
      </c>
    </row>
    <row r="1343" spans="3:8">
      <c r="C1343" s="22"/>
      <c r="D1343" s="58"/>
      <c r="E1343" s="22"/>
      <c r="F1343" s="23"/>
      <c r="G1343" s="45"/>
      <c r="H1343" s="44">
        <v>0</v>
      </c>
    </row>
    <row r="1344" spans="3:8">
      <c r="C1344" s="22"/>
      <c r="D1344" s="58"/>
      <c r="E1344" s="22"/>
      <c r="F1344" s="23"/>
      <c r="G1344" s="30">
        <v>0</v>
      </c>
      <c r="H1344" s="44">
        <v>0</v>
      </c>
    </row>
    <row r="1345" spans="3:8">
      <c r="C1345" s="22"/>
      <c r="D1345" s="58"/>
      <c r="E1345" s="22"/>
      <c r="F1345" s="23"/>
      <c r="G1345" s="45">
        <v>0</v>
      </c>
      <c r="H1345" s="44">
        <v>0</v>
      </c>
    </row>
    <row r="1346" spans="3:8">
      <c r="C1346" s="22"/>
      <c r="D1346" s="27"/>
      <c r="E1346" s="22"/>
      <c r="F1346" s="32"/>
      <c r="G1346" s="30">
        <v>0</v>
      </c>
      <c r="H1346" s="44">
        <v>0</v>
      </c>
    </row>
    <row r="1347" spans="3:8">
      <c r="C1347" s="34" t="s">
        <v>18</v>
      </c>
      <c r="D1347" s="34"/>
      <c r="E1347" s="34"/>
      <c r="F1347" s="35"/>
      <c r="G1347" s="34"/>
      <c r="H1347" s="36">
        <v>2064.0500993034675</v>
      </c>
    </row>
    <row r="1348" spans="3:8">
      <c r="C1348" s="37" t="s">
        <v>19</v>
      </c>
      <c r="D1348" s="38" t="s">
        <v>20</v>
      </c>
      <c r="E1348" s="39"/>
      <c r="F1348" s="46"/>
      <c r="G1348" s="47"/>
      <c r="H1348" s="47">
        <v>0</v>
      </c>
    </row>
    <row r="1349" spans="3:8">
      <c r="C1349" s="28" t="s">
        <v>55</v>
      </c>
      <c r="D1349" s="48" t="s">
        <v>145</v>
      </c>
      <c r="E1349" s="81" t="s">
        <v>33</v>
      </c>
      <c r="F1349" s="43">
        <v>0.65</v>
      </c>
      <c r="G1349" s="29">
        <v>50</v>
      </c>
      <c r="H1349" s="33">
        <v>32.5</v>
      </c>
    </row>
    <row r="1350" spans="3:8">
      <c r="C1350" s="28" t="s">
        <v>55</v>
      </c>
      <c r="D1350" s="48" t="s">
        <v>150</v>
      </c>
      <c r="E1350" s="28" t="s">
        <v>6</v>
      </c>
      <c r="F1350" s="23">
        <v>1</v>
      </c>
      <c r="G1350" s="33">
        <v>153.37506452415499</v>
      </c>
      <c r="H1350" s="33">
        <v>153.37506452415499</v>
      </c>
    </row>
    <row r="1351" spans="3:8">
      <c r="C1351" s="28" t="s">
        <v>55</v>
      </c>
      <c r="D1351" s="48" t="s">
        <v>151</v>
      </c>
      <c r="E1351" s="28" t="s">
        <v>6</v>
      </c>
      <c r="F1351" s="23">
        <v>0.5</v>
      </c>
      <c r="G1351" s="33">
        <v>219.92292225201072</v>
      </c>
      <c r="H1351" s="44">
        <v>109.96146112600536</v>
      </c>
    </row>
    <row r="1352" spans="3:8">
      <c r="C1352" s="28"/>
      <c r="D1352" s="48"/>
      <c r="E1352" s="28"/>
      <c r="F1352" s="23"/>
      <c r="G1352" s="33">
        <v>0</v>
      </c>
      <c r="H1352" s="44">
        <v>0</v>
      </c>
    </row>
    <row r="1353" spans="3:8">
      <c r="C1353" s="28"/>
      <c r="D1353" s="48"/>
      <c r="E1353" s="28"/>
      <c r="F1353" s="23"/>
      <c r="G1353" s="33">
        <v>0</v>
      </c>
      <c r="H1353" s="44">
        <v>0</v>
      </c>
    </row>
    <row r="1354" spans="3:8">
      <c r="C1354" s="28"/>
      <c r="D1354" s="48"/>
      <c r="E1354" s="28"/>
      <c r="F1354" s="23"/>
      <c r="G1354" s="33">
        <v>0</v>
      </c>
      <c r="H1354" s="44">
        <v>0</v>
      </c>
    </row>
    <row r="1355" spans="3:8">
      <c r="C1355" s="28"/>
      <c r="D1355" s="92"/>
      <c r="E1355" s="28"/>
      <c r="F1355" s="23"/>
      <c r="G1355" s="33">
        <v>0</v>
      </c>
      <c r="H1355" s="44">
        <v>0</v>
      </c>
    </row>
    <row r="1356" spans="3:8">
      <c r="C1356" s="28"/>
      <c r="D1356" s="48"/>
      <c r="E1356" s="28"/>
      <c r="F1356" s="23"/>
      <c r="G1356" s="33">
        <v>0</v>
      </c>
      <c r="H1356" s="44">
        <v>0</v>
      </c>
    </row>
    <row r="1357" spans="3:8">
      <c r="C1357" s="34" t="s">
        <v>21</v>
      </c>
      <c r="D1357" s="34"/>
      <c r="E1357" s="34"/>
      <c r="F1357" s="35"/>
      <c r="G1357" s="34"/>
      <c r="H1357" s="36">
        <v>295.83652565016035</v>
      </c>
    </row>
    <row r="1358" spans="3:8" ht="15.75">
      <c r="C1358" s="49" t="s">
        <v>22</v>
      </c>
      <c r="D1358" s="50"/>
      <c r="E1358" s="50"/>
      <c r="F1358" s="51"/>
      <c r="G1358" s="52"/>
      <c r="H1358" s="36">
        <v>29747.387221194876</v>
      </c>
    </row>
    <row r="1359" spans="3:8" ht="15.75">
      <c r="C1359" s="49" t="s">
        <v>23</v>
      </c>
      <c r="D1359" s="50"/>
      <c r="E1359" s="50"/>
      <c r="F1359" s="51"/>
      <c r="G1359" s="52"/>
      <c r="H1359" s="53">
        <v>7328.3113878249997</v>
      </c>
    </row>
    <row r="1360" spans="3:8" ht="15.75">
      <c r="C1360" s="49" t="s">
        <v>24</v>
      </c>
      <c r="D1360" s="50"/>
      <c r="E1360" s="50"/>
      <c r="F1360" s="51"/>
      <c r="G1360" s="52"/>
      <c r="H1360" s="36">
        <v>37075.699999999997</v>
      </c>
    </row>
    <row r="1361" spans="3:8" ht="15.75">
      <c r="C1361" s="84"/>
      <c r="D1361" s="84"/>
      <c r="E1361" s="84"/>
      <c r="F1361" s="85"/>
      <c r="G1361" s="84"/>
      <c r="H1361" s="86"/>
    </row>
    <row r="1362" spans="3:8" ht="30">
      <c r="C1362" s="5" t="s">
        <v>1</v>
      </c>
      <c r="D1362" s="6" t="s">
        <v>219</v>
      </c>
      <c r="E1362" s="6"/>
      <c r="F1362" s="7"/>
      <c r="G1362" s="8"/>
      <c r="H1362" s="9"/>
    </row>
    <row r="1363" spans="3:8">
      <c r="C1363" s="10" t="s">
        <v>3</v>
      </c>
      <c r="D1363" s="11" t="s">
        <v>220</v>
      </c>
      <c r="E1363" s="12"/>
      <c r="F1363" s="13" t="s">
        <v>5</v>
      </c>
      <c r="G1363" s="14" t="s">
        <v>177</v>
      </c>
      <c r="H1363" s="15">
        <v>594.72</v>
      </c>
    </row>
    <row r="1364" spans="3:8">
      <c r="C1364" s="16" t="s">
        <v>7</v>
      </c>
      <c r="D1364" s="16" t="s">
        <v>8</v>
      </c>
      <c r="E1364" s="16" t="s">
        <v>9</v>
      </c>
      <c r="F1364" s="17" t="s">
        <v>10</v>
      </c>
      <c r="G1364" s="18" t="s">
        <v>11</v>
      </c>
      <c r="H1364" s="18" t="s">
        <v>12</v>
      </c>
    </row>
    <row r="1365" spans="3:8">
      <c r="C1365" s="16"/>
      <c r="D1365" s="16"/>
      <c r="E1365" s="16"/>
      <c r="F1365" s="17"/>
      <c r="G1365" s="19"/>
      <c r="H1365" s="19"/>
    </row>
    <row r="1366" spans="3:8">
      <c r="C1366" s="20" t="s">
        <v>13</v>
      </c>
      <c r="D1366" s="21" t="s">
        <v>14</v>
      </c>
      <c r="E1366" s="22"/>
      <c r="F1366" s="23"/>
      <c r="G1366" s="24"/>
      <c r="H1366" s="25"/>
    </row>
    <row r="1367" spans="3:8">
      <c r="C1367" s="22"/>
      <c r="D1367" s="54"/>
      <c r="E1367" s="22"/>
      <c r="F1367" s="96"/>
      <c r="G1367" s="33">
        <v>0</v>
      </c>
      <c r="H1367" s="30">
        <v>0</v>
      </c>
    </row>
    <row r="1368" spans="3:8">
      <c r="C1368" s="22"/>
      <c r="D1368" s="48"/>
      <c r="E1368" s="22"/>
      <c r="F1368" s="96"/>
      <c r="G1368" s="33">
        <v>0</v>
      </c>
      <c r="H1368" s="30">
        <v>0</v>
      </c>
    </row>
    <row r="1369" spans="3:8">
      <c r="C1369" s="22"/>
      <c r="D1369" s="27"/>
      <c r="E1369" s="22"/>
      <c r="F1369" s="64"/>
      <c r="G1369" s="33">
        <v>0</v>
      </c>
      <c r="H1369" s="30">
        <v>0</v>
      </c>
    </row>
    <row r="1370" spans="3:8">
      <c r="C1370" s="22"/>
      <c r="D1370" s="27"/>
      <c r="E1370" s="22"/>
      <c r="F1370" s="95"/>
      <c r="G1370" s="33">
        <v>0</v>
      </c>
      <c r="H1370" s="30">
        <v>0</v>
      </c>
    </row>
    <row r="1371" spans="3:8">
      <c r="C1371" s="22"/>
      <c r="D1371" s="48"/>
      <c r="E1371" s="22"/>
      <c r="F1371" s="43"/>
      <c r="G1371" s="29">
        <v>0</v>
      </c>
      <c r="H1371" s="30">
        <v>0</v>
      </c>
    </row>
    <row r="1372" spans="3:8">
      <c r="C1372" s="26"/>
      <c r="D1372" s="48"/>
      <c r="E1372" s="22"/>
      <c r="F1372" s="43"/>
      <c r="G1372" s="29">
        <v>0</v>
      </c>
      <c r="H1372" s="30">
        <v>0</v>
      </c>
    </row>
    <row r="1373" spans="3:8">
      <c r="C1373" s="26"/>
      <c r="D1373" s="48"/>
      <c r="E1373" s="22"/>
      <c r="F1373" s="57"/>
      <c r="G1373" s="29">
        <v>0</v>
      </c>
      <c r="H1373" s="30">
        <v>0</v>
      </c>
    </row>
    <row r="1374" spans="3:8">
      <c r="C1374" s="34" t="s">
        <v>15</v>
      </c>
      <c r="D1374" s="34"/>
      <c r="E1374" s="34"/>
      <c r="F1374" s="35"/>
      <c r="G1374" s="34"/>
      <c r="H1374" s="36">
        <v>0</v>
      </c>
    </row>
    <row r="1375" spans="3:8">
      <c r="C1375" s="37" t="s">
        <v>16</v>
      </c>
      <c r="D1375" s="38" t="s">
        <v>17</v>
      </c>
      <c r="E1375" s="39"/>
      <c r="F1375" s="40"/>
      <c r="G1375" s="41"/>
      <c r="H1375" s="41"/>
    </row>
    <row r="1376" spans="3:8">
      <c r="C1376" s="22"/>
      <c r="D1376" s="77"/>
      <c r="E1376" s="22"/>
      <c r="F1376" s="23"/>
      <c r="G1376" s="45">
        <v>0</v>
      </c>
      <c r="H1376" s="44">
        <v>0</v>
      </c>
    </row>
    <row r="1377" spans="3:8">
      <c r="C1377" s="22"/>
      <c r="D1377" s="58"/>
      <c r="E1377" s="22"/>
      <c r="F1377" s="93"/>
      <c r="G1377" s="45">
        <v>0</v>
      </c>
      <c r="H1377" s="44">
        <v>0</v>
      </c>
    </row>
    <row r="1378" spans="3:8">
      <c r="C1378" s="22"/>
      <c r="D1378" s="58"/>
      <c r="E1378" s="22"/>
      <c r="F1378" s="94"/>
      <c r="G1378" s="45">
        <v>0</v>
      </c>
      <c r="H1378" s="44">
        <v>0</v>
      </c>
    </row>
    <row r="1379" spans="3:8">
      <c r="C1379" s="22"/>
      <c r="D1379" s="58"/>
      <c r="E1379" s="22"/>
      <c r="F1379" s="23"/>
      <c r="G1379" s="45">
        <v>0</v>
      </c>
      <c r="H1379" s="44">
        <v>0</v>
      </c>
    </row>
    <row r="1380" spans="3:8">
      <c r="C1380" s="22"/>
      <c r="D1380" s="58"/>
      <c r="E1380" s="22"/>
      <c r="F1380" s="23"/>
      <c r="G1380" s="45">
        <v>0</v>
      </c>
      <c r="H1380" s="44">
        <v>0</v>
      </c>
    </row>
    <row r="1381" spans="3:8">
      <c r="C1381" s="22"/>
      <c r="D1381" s="58"/>
      <c r="E1381" s="22"/>
      <c r="F1381" s="23"/>
      <c r="G1381" s="45">
        <v>0</v>
      </c>
      <c r="H1381" s="44">
        <v>0</v>
      </c>
    </row>
    <row r="1382" spans="3:8">
      <c r="C1382" s="22"/>
      <c r="D1382" s="58"/>
      <c r="E1382" s="22"/>
      <c r="F1382" s="23"/>
      <c r="G1382" s="45">
        <v>0</v>
      </c>
      <c r="H1382" s="44">
        <v>0</v>
      </c>
    </row>
    <row r="1383" spans="3:8">
      <c r="C1383" s="22"/>
      <c r="D1383" s="27"/>
      <c r="E1383" s="22"/>
      <c r="F1383" s="32"/>
      <c r="G1383" s="45">
        <v>0</v>
      </c>
      <c r="H1383" s="44">
        <v>0</v>
      </c>
    </row>
    <row r="1384" spans="3:8">
      <c r="C1384" s="34" t="s">
        <v>18</v>
      </c>
      <c r="D1384" s="34"/>
      <c r="E1384" s="34"/>
      <c r="F1384" s="35"/>
      <c r="G1384" s="34"/>
      <c r="H1384" s="36">
        <v>0</v>
      </c>
    </row>
    <row r="1385" spans="3:8">
      <c r="C1385" s="37" t="s">
        <v>19</v>
      </c>
      <c r="D1385" s="38" t="s">
        <v>20</v>
      </c>
      <c r="E1385" s="39"/>
      <c r="F1385" s="46"/>
      <c r="G1385" s="47"/>
      <c r="H1385" s="47">
        <v>0</v>
      </c>
    </row>
    <row r="1386" spans="3:8" ht="30">
      <c r="C1386" s="28" t="s">
        <v>55</v>
      </c>
      <c r="D1386" s="70" t="s">
        <v>221</v>
      </c>
      <c r="E1386" s="28" t="s">
        <v>198</v>
      </c>
      <c r="F1386" s="23">
        <v>1</v>
      </c>
      <c r="G1386" s="33">
        <v>318.113</v>
      </c>
      <c r="H1386" s="33">
        <v>318.113</v>
      </c>
    </row>
    <row r="1387" spans="3:8">
      <c r="C1387" s="28" t="s">
        <v>55</v>
      </c>
      <c r="D1387" s="48" t="s">
        <v>222</v>
      </c>
      <c r="E1387" s="28" t="s">
        <v>6</v>
      </c>
      <c r="F1387" s="23">
        <v>1</v>
      </c>
      <c r="G1387" s="33">
        <v>159.0565</v>
      </c>
      <c r="H1387" s="33">
        <v>159.0565</v>
      </c>
    </row>
    <row r="1388" spans="3:8">
      <c r="C1388" s="28"/>
      <c r="D1388" s="48"/>
      <c r="E1388" s="28"/>
      <c r="F1388" s="23"/>
      <c r="G1388" s="33">
        <v>0</v>
      </c>
      <c r="H1388" s="44">
        <v>0</v>
      </c>
    </row>
    <row r="1389" spans="3:8">
      <c r="C1389" s="28"/>
      <c r="D1389" s="48"/>
      <c r="E1389" s="28"/>
      <c r="F1389" s="23"/>
      <c r="G1389" s="33">
        <v>0</v>
      </c>
      <c r="H1389" s="44">
        <v>0</v>
      </c>
    </row>
    <row r="1390" spans="3:8">
      <c r="C1390" s="28"/>
      <c r="D1390" s="48"/>
      <c r="E1390" s="28"/>
      <c r="F1390" s="23"/>
      <c r="G1390" s="33">
        <v>0</v>
      </c>
      <c r="H1390" s="44">
        <v>0</v>
      </c>
    </row>
    <row r="1391" spans="3:8">
      <c r="C1391" s="28"/>
      <c r="D1391" s="48"/>
      <c r="E1391" s="28"/>
      <c r="F1391" s="23"/>
      <c r="G1391" s="33">
        <v>0</v>
      </c>
      <c r="H1391" s="44">
        <v>0</v>
      </c>
    </row>
    <row r="1392" spans="3:8">
      <c r="C1392" s="28"/>
      <c r="D1392" s="92"/>
      <c r="E1392" s="28"/>
      <c r="F1392" s="23"/>
      <c r="G1392" s="33">
        <v>0</v>
      </c>
      <c r="H1392" s="44">
        <v>0</v>
      </c>
    </row>
    <row r="1393" spans="3:8">
      <c r="C1393" s="28"/>
      <c r="D1393" s="48"/>
      <c r="E1393" s="28"/>
      <c r="F1393" s="23"/>
      <c r="G1393" s="33">
        <v>0</v>
      </c>
      <c r="H1393" s="44">
        <v>0</v>
      </c>
    </row>
    <row r="1394" spans="3:8">
      <c r="C1394" s="34" t="s">
        <v>21</v>
      </c>
      <c r="D1394" s="34"/>
      <c r="E1394" s="34"/>
      <c r="F1394" s="35"/>
      <c r="G1394" s="34"/>
      <c r="H1394" s="36">
        <v>477.16949999999997</v>
      </c>
    </row>
    <row r="1395" spans="3:8" ht="15.75">
      <c r="C1395" s="49" t="s">
        <v>22</v>
      </c>
      <c r="D1395" s="50"/>
      <c r="E1395" s="50"/>
      <c r="F1395" s="51"/>
      <c r="G1395" s="52"/>
      <c r="H1395" s="36">
        <v>477.16949999999997</v>
      </c>
    </row>
    <row r="1396" spans="3:8" ht="15.75">
      <c r="C1396" s="49" t="s">
        <v>23</v>
      </c>
      <c r="D1396" s="50"/>
      <c r="E1396" s="50"/>
      <c r="F1396" s="51"/>
      <c r="G1396" s="52"/>
      <c r="H1396" s="53">
        <v>117.55138879159357</v>
      </c>
    </row>
    <row r="1397" spans="3:8" ht="15.75">
      <c r="C1397" s="49" t="s">
        <v>24</v>
      </c>
      <c r="D1397" s="50"/>
      <c r="E1397" s="50"/>
      <c r="F1397" s="51"/>
      <c r="G1397" s="52"/>
      <c r="H1397" s="36">
        <v>594.72</v>
      </c>
    </row>
    <row r="1398" spans="3:8" ht="15.75">
      <c r="C1398" s="84"/>
      <c r="D1398" s="84"/>
      <c r="E1398" s="84"/>
      <c r="F1398" s="85"/>
      <c r="G1398" s="84"/>
      <c r="H1398" s="86"/>
    </row>
    <row r="1399" spans="3:8" ht="30">
      <c r="C1399" s="5" t="s">
        <v>1</v>
      </c>
      <c r="D1399" s="6" t="s">
        <v>223</v>
      </c>
      <c r="E1399" s="6"/>
      <c r="F1399" s="7"/>
      <c r="G1399" s="8"/>
      <c r="H1399" s="9"/>
    </row>
    <row r="1400" spans="3:8">
      <c r="C1400" s="10" t="s">
        <v>3</v>
      </c>
      <c r="D1400" s="11" t="s">
        <v>224</v>
      </c>
      <c r="E1400" s="12"/>
      <c r="F1400" s="13" t="s">
        <v>5</v>
      </c>
      <c r="G1400" s="14" t="s">
        <v>177</v>
      </c>
      <c r="H1400" s="15">
        <v>1433.27</v>
      </c>
    </row>
    <row r="1401" spans="3:8">
      <c r="C1401" s="16" t="s">
        <v>7</v>
      </c>
      <c r="D1401" s="16" t="s">
        <v>8</v>
      </c>
      <c r="E1401" s="16" t="s">
        <v>9</v>
      </c>
      <c r="F1401" s="17" t="s">
        <v>10</v>
      </c>
      <c r="G1401" s="18" t="s">
        <v>11</v>
      </c>
      <c r="H1401" s="18" t="s">
        <v>12</v>
      </c>
    </row>
    <row r="1402" spans="3:8">
      <c r="C1402" s="16"/>
      <c r="D1402" s="16"/>
      <c r="E1402" s="16"/>
      <c r="F1402" s="17"/>
      <c r="G1402" s="19"/>
      <c r="H1402" s="19"/>
    </row>
    <row r="1403" spans="3:8">
      <c r="C1403" s="20" t="s">
        <v>13</v>
      </c>
      <c r="D1403" s="21" t="s">
        <v>14</v>
      </c>
      <c r="E1403" s="22"/>
      <c r="F1403" s="23"/>
      <c r="G1403" s="24"/>
      <c r="H1403" s="25"/>
    </row>
    <row r="1404" spans="3:8">
      <c r="C1404" s="22"/>
      <c r="D1404" s="54"/>
      <c r="E1404" s="22"/>
      <c r="F1404" s="96"/>
      <c r="G1404" s="33">
        <v>0</v>
      </c>
      <c r="H1404" s="30">
        <v>0</v>
      </c>
    </row>
    <row r="1405" spans="3:8">
      <c r="C1405" s="22"/>
      <c r="D1405" s="48"/>
      <c r="E1405" s="22"/>
      <c r="F1405" s="96"/>
      <c r="G1405" s="33">
        <v>0</v>
      </c>
      <c r="H1405" s="30">
        <v>0</v>
      </c>
    </row>
    <row r="1406" spans="3:8">
      <c r="C1406" s="22"/>
      <c r="D1406" s="27"/>
      <c r="E1406" s="22"/>
      <c r="F1406" s="64"/>
      <c r="G1406" s="33">
        <v>0</v>
      </c>
      <c r="H1406" s="30">
        <v>0</v>
      </c>
    </row>
    <row r="1407" spans="3:8">
      <c r="C1407" s="22"/>
      <c r="D1407" s="27"/>
      <c r="E1407" s="22"/>
      <c r="F1407" s="95"/>
      <c r="G1407" s="33">
        <v>0</v>
      </c>
      <c r="H1407" s="30">
        <v>0</v>
      </c>
    </row>
    <row r="1408" spans="3:8">
      <c r="C1408" s="22"/>
      <c r="D1408" s="48"/>
      <c r="E1408" s="22"/>
      <c r="F1408" s="43"/>
      <c r="G1408" s="29">
        <v>0</v>
      </c>
      <c r="H1408" s="30">
        <v>0</v>
      </c>
    </row>
    <row r="1409" spans="3:8">
      <c r="C1409" s="26"/>
      <c r="D1409" s="48"/>
      <c r="E1409" s="22"/>
      <c r="F1409" s="43"/>
      <c r="G1409" s="29">
        <v>0</v>
      </c>
      <c r="H1409" s="30">
        <v>0</v>
      </c>
    </row>
    <row r="1410" spans="3:8">
      <c r="C1410" s="26"/>
      <c r="D1410" s="48"/>
      <c r="E1410" s="22"/>
      <c r="F1410" s="57"/>
      <c r="G1410" s="29">
        <v>0</v>
      </c>
      <c r="H1410" s="30">
        <v>0</v>
      </c>
    </row>
    <row r="1411" spans="3:8">
      <c r="C1411" s="34" t="s">
        <v>15</v>
      </c>
      <c r="D1411" s="34"/>
      <c r="E1411" s="34"/>
      <c r="F1411" s="35"/>
      <c r="G1411" s="34"/>
      <c r="H1411" s="36">
        <v>0</v>
      </c>
    </row>
    <row r="1412" spans="3:8">
      <c r="C1412" s="37" t="s">
        <v>16</v>
      </c>
      <c r="D1412" s="38" t="s">
        <v>17</v>
      </c>
      <c r="E1412" s="39"/>
      <c r="F1412" s="40"/>
      <c r="G1412" s="41"/>
      <c r="H1412" s="41"/>
    </row>
    <row r="1413" spans="3:8">
      <c r="C1413" s="22"/>
      <c r="D1413" s="77"/>
      <c r="E1413" s="22"/>
      <c r="F1413" s="23"/>
      <c r="G1413" s="45">
        <v>0</v>
      </c>
      <c r="H1413" s="44">
        <v>0</v>
      </c>
    </row>
    <row r="1414" spans="3:8">
      <c r="C1414" s="22"/>
      <c r="D1414" s="58"/>
      <c r="E1414" s="22"/>
      <c r="F1414" s="93"/>
      <c r="G1414" s="45">
        <v>0</v>
      </c>
      <c r="H1414" s="44">
        <v>0</v>
      </c>
    </row>
    <row r="1415" spans="3:8">
      <c r="C1415" s="22"/>
      <c r="D1415" s="58"/>
      <c r="E1415" s="22"/>
      <c r="F1415" s="94"/>
      <c r="G1415" s="45">
        <v>0</v>
      </c>
      <c r="H1415" s="44">
        <v>0</v>
      </c>
    </row>
    <row r="1416" spans="3:8">
      <c r="C1416" s="22"/>
      <c r="D1416" s="58"/>
      <c r="E1416" s="22"/>
      <c r="F1416" s="23"/>
      <c r="G1416" s="45">
        <v>0</v>
      </c>
      <c r="H1416" s="44">
        <v>0</v>
      </c>
    </row>
    <row r="1417" spans="3:8">
      <c r="C1417" s="22"/>
      <c r="D1417" s="58"/>
      <c r="E1417" s="22"/>
      <c r="F1417" s="23"/>
      <c r="G1417" s="45">
        <v>0</v>
      </c>
      <c r="H1417" s="44">
        <v>0</v>
      </c>
    </row>
    <row r="1418" spans="3:8">
      <c r="C1418" s="22"/>
      <c r="D1418" s="58"/>
      <c r="E1418" s="22"/>
      <c r="F1418" s="23"/>
      <c r="G1418" s="30">
        <v>0</v>
      </c>
      <c r="H1418" s="44">
        <v>0</v>
      </c>
    </row>
    <row r="1419" spans="3:8">
      <c r="C1419" s="22"/>
      <c r="D1419" s="58"/>
      <c r="E1419" s="22"/>
      <c r="F1419" s="23"/>
      <c r="G1419" s="45">
        <v>0</v>
      </c>
      <c r="H1419" s="44">
        <v>0</v>
      </c>
    </row>
    <row r="1420" spans="3:8">
      <c r="C1420" s="22"/>
      <c r="D1420" s="27"/>
      <c r="E1420" s="22"/>
      <c r="F1420" s="32"/>
      <c r="G1420" s="30">
        <v>0</v>
      </c>
      <c r="H1420" s="44">
        <v>0</v>
      </c>
    </row>
    <row r="1421" spans="3:8">
      <c r="C1421" s="34" t="s">
        <v>18</v>
      </c>
      <c r="D1421" s="34"/>
      <c r="E1421" s="34"/>
      <c r="F1421" s="35"/>
      <c r="G1421" s="34"/>
      <c r="H1421" s="36">
        <v>0</v>
      </c>
    </row>
    <row r="1422" spans="3:8">
      <c r="C1422" s="37" t="s">
        <v>19</v>
      </c>
      <c r="D1422" s="38" t="s">
        <v>20</v>
      </c>
      <c r="E1422" s="39"/>
      <c r="F1422" s="46"/>
      <c r="G1422" s="47"/>
      <c r="H1422" s="47">
        <v>0</v>
      </c>
    </row>
    <row r="1423" spans="3:8" ht="30">
      <c r="C1423" s="28" t="s">
        <v>55</v>
      </c>
      <c r="D1423" s="70" t="s">
        <v>225</v>
      </c>
      <c r="E1423" s="28" t="s">
        <v>198</v>
      </c>
      <c r="F1423" s="23">
        <v>1</v>
      </c>
      <c r="G1423" s="33">
        <v>766.65094999999997</v>
      </c>
      <c r="H1423" s="33">
        <v>766.65094999999997</v>
      </c>
    </row>
    <row r="1424" spans="3:8">
      <c r="C1424" s="28" t="s">
        <v>55</v>
      </c>
      <c r="D1424" s="48" t="s">
        <v>222</v>
      </c>
      <c r="E1424" s="28" t="s">
        <v>6</v>
      </c>
      <c r="F1424" s="23">
        <v>1</v>
      </c>
      <c r="G1424" s="33">
        <v>383.32547499999998</v>
      </c>
      <c r="H1424" s="33">
        <v>383.32547499999998</v>
      </c>
    </row>
    <row r="1425" spans="3:8">
      <c r="C1425" s="28"/>
      <c r="D1425" s="48"/>
      <c r="E1425" s="28"/>
      <c r="F1425" s="23"/>
      <c r="G1425" s="33">
        <v>0</v>
      </c>
      <c r="H1425" s="44">
        <v>0</v>
      </c>
    </row>
    <row r="1426" spans="3:8">
      <c r="C1426" s="28"/>
      <c r="D1426" s="48"/>
      <c r="E1426" s="28"/>
      <c r="F1426" s="23"/>
      <c r="G1426" s="33">
        <v>0</v>
      </c>
      <c r="H1426" s="44">
        <v>0</v>
      </c>
    </row>
    <row r="1427" spans="3:8">
      <c r="C1427" s="28"/>
      <c r="D1427" s="48"/>
      <c r="E1427" s="28"/>
      <c r="F1427" s="23"/>
      <c r="G1427" s="33">
        <v>0</v>
      </c>
      <c r="H1427" s="44">
        <v>0</v>
      </c>
    </row>
    <row r="1428" spans="3:8">
      <c r="C1428" s="28"/>
      <c r="D1428" s="48"/>
      <c r="E1428" s="28"/>
      <c r="F1428" s="23"/>
      <c r="G1428" s="33">
        <v>0</v>
      </c>
      <c r="H1428" s="44">
        <v>0</v>
      </c>
    </row>
    <row r="1429" spans="3:8">
      <c r="C1429" s="28"/>
      <c r="D1429" s="92"/>
      <c r="E1429" s="28"/>
      <c r="F1429" s="23"/>
      <c r="G1429" s="33">
        <v>0</v>
      </c>
      <c r="H1429" s="44">
        <v>0</v>
      </c>
    </row>
    <row r="1430" spans="3:8">
      <c r="C1430" s="28"/>
      <c r="D1430" s="48"/>
      <c r="E1430" s="28"/>
      <c r="F1430" s="23"/>
      <c r="G1430" s="33">
        <v>0</v>
      </c>
      <c r="H1430" s="44">
        <v>0</v>
      </c>
    </row>
    <row r="1431" spans="3:8">
      <c r="C1431" s="34" t="s">
        <v>21</v>
      </c>
      <c r="D1431" s="34"/>
      <c r="E1431" s="34"/>
      <c r="F1431" s="35"/>
      <c r="G1431" s="34"/>
      <c r="H1431" s="36">
        <v>1149.9764249999998</v>
      </c>
    </row>
    <row r="1432" spans="3:8" ht="15.75">
      <c r="C1432" s="49" t="s">
        <v>22</v>
      </c>
      <c r="D1432" s="50"/>
      <c r="E1432" s="50"/>
      <c r="F1432" s="51"/>
      <c r="G1432" s="52"/>
      <c r="H1432" s="36">
        <v>1149.9764249999998</v>
      </c>
    </row>
    <row r="1433" spans="3:8" ht="15.75">
      <c r="C1433" s="49" t="s">
        <v>23</v>
      </c>
      <c r="D1433" s="50"/>
      <c r="E1433" s="50"/>
      <c r="F1433" s="51"/>
      <c r="G1433" s="52"/>
      <c r="H1433" s="53">
        <v>283.29833704027988</v>
      </c>
    </row>
    <row r="1434" spans="3:8" ht="15.75">
      <c r="C1434" s="49" t="s">
        <v>24</v>
      </c>
      <c r="D1434" s="50"/>
      <c r="E1434" s="50"/>
      <c r="F1434" s="51"/>
      <c r="G1434" s="52"/>
      <c r="H1434" s="36">
        <v>1433.27</v>
      </c>
    </row>
    <row r="1435" spans="3:8" ht="15.75">
      <c r="C1435" s="84"/>
      <c r="D1435" s="84"/>
      <c r="E1435" s="84"/>
      <c r="F1435" s="85"/>
      <c r="G1435" s="84"/>
      <c r="H1435" s="86"/>
    </row>
    <row r="1436" spans="3:8" ht="30">
      <c r="C1436" s="5" t="s">
        <v>1</v>
      </c>
      <c r="D1436" s="6" t="s">
        <v>226</v>
      </c>
      <c r="E1436" s="6"/>
      <c r="F1436" s="7"/>
      <c r="G1436" s="8"/>
      <c r="H1436" s="9"/>
    </row>
    <row r="1437" spans="3:8">
      <c r="C1437" s="10" t="s">
        <v>3</v>
      </c>
      <c r="D1437" s="11" t="s">
        <v>227</v>
      </c>
      <c r="E1437" s="12"/>
      <c r="F1437" s="13" t="s">
        <v>5</v>
      </c>
      <c r="G1437" s="14" t="s">
        <v>177</v>
      </c>
      <c r="H1437" s="15">
        <v>1433.27</v>
      </c>
    </row>
    <row r="1438" spans="3:8">
      <c r="C1438" s="16" t="s">
        <v>7</v>
      </c>
      <c r="D1438" s="16" t="s">
        <v>8</v>
      </c>
      <c r="E1438" s="16" t="s">
        <v>9</v>
      </c>
      <c r="F1438" s="17" t="s">
        <v>10</v>
      </c>
      <c r="G1438" s="18" t="s">
        <v>11</v>
      </c>
      <c r="H1438" s="18" t="s">
        <v>12</v>
      </c>
    </row>
    <row r="1439" spans="3:8">
      <c r="C1439" s="16"/>
      <c r="D1439" s="16"/>
      <c r="E1439" s="16"/>
      <c r="F1439" s="17"/>
      <c r="G1439" s="19"/>
      <c r="H1439" s="19"/>
    </row>
    <row r="1440" spans="3:8">
      <c r="C1440" s="20" t="s">
        <v>13</v>
      </c>
      <c r="D1440" s="21" t="s">
        <v>14</v>
      </c>
      <c r="E1440" s="22"/>
      <c r="F1440" s="23"/>
      <c r="G1440" s="24"/>
      <c r="H1440" s="25"/>
    </row>
    <row r="1441" spans="3:8">
      <c r="C1441" s="22"/>
      <c r="D1441" s="54"/>
      <c r="E1441" s="22"/>
      <c r="F1441" s="43"/>
      <c r="G1441" s="29">
        <v>0</v>
      </c>
      <c r="H1441" s="30">
        <v>0</v>
      </c>
    </row>
    <row r="1442" spans="3:8">
      <c r="C1442" s="22"/>
      <c r="D1442" s="48"/>
      <c r="E1442" s="22"/>
      <c r="F1442" s="43"/>
      <c r="G1442" s="29">
        <v>0</v>
      </c>
      <c r="H1442" s="30">
        <v>0</v>
      </c>
    </row>
    <row r="1443" spans="3:8">
      <c r="C1443" s="22"/>
      <c r="D1443" s="48"/>
      <c r="E1443" s="22"/>
      <c r="F1443" s="43"/>
      <c r="G1443" s="29">
        <v>0</v>
      </c>
      <c r="H1443" s="30">
        <v>0</v>
      </c>
    </row>
    <row r="1444" spans="3:8">
      <c r="C1444" s="22"/>
      <c r="D1444" s="48"/>
      <c r="E1444" s="22"/>
      <c r="F1444" s="43"/>
      <c r="G1444" s="29">
        <v>0</v>
      </c>
      <c r="H1444" s="30">
        <v>0</v>
      </c>
    </row>
    <row r="1445" spans="3:8">
      <c r="C1445" s="22"/>
      <c r="D1445" s="48"/>
      <c r="E1445" s="81"/>
      <c r="F1445" s="43"/>
      <c r="G1445" s="29">
        <v>0</v>
      </c>
      <c r="H1445" s="30">
        <v>0</v>
      </c>
    </row>
    <row r="1446" spans="3:8">
      <c r="C1446" s="22"/>
      <c r="D1446" s="48"/>
      <c r="E1446" s="22"/>
      <c r="F1446" s="43"/>
      <c r="G1446" s="29">
        <v>0</v>
      </c>
      <c r="H1446" s="30">
        <v>0</v>
      </c>
    </row>
    <row r="1447" spans="3:8">
      <c r="C1447" s="26"/>
      <c r="D1447" s="48"/>
      <c r="E1447" s="22"/>
      <c r="F1447" s="43"/>
      <c r="G1447" s="29">
        <v>0</v>
      </c>
      <c r="H1447" s="30">
        <v>0</v>
      </c>
    </row>
    <row r="1448" spans="3:8">
      <c r="C1448" s="26"/>
      <c r="D1448" s="48"/>
      <c r="E1448" s="22"/>
      <c r="F1448" s="57"/>
      <c r="G1448" s="29">
        <v>0</v>
      </c>
      <c r="H1448" s="30">
        <v>0</v>
      </c>
    </row>
    <row r="1449" spans="3:8">
      <c r="C1449" s="34" t="s">
        <v>15</v>
      </c>
      <c r="D1449" s="34"/>
      <c r="E1449" s="34"/>
      <c r="F1449" s="35"/>
      <c r="G1449" s="34"/>
      <c r="H1449" s="36">
        <v>0</v>
      </c>
    </row>
    <row r="1450" spans="3:8">
      <c r="C1450" s="37" t="s">
        <v>16</v>
      </c>
      <c r="D1450" s="38" t="s">
        <v>17</v>
      </c>
      <c r="E1450" s="39"/>
      <c r="F1450" s="40"/>
      <c r="G1450" s="41"/>
      <c r="H1450" s="41"/>
    </row>
    <row r="1451" spans="3:8">
      <c r="C1451" s="22"/>
      <c r="D1451" s="58"/>
      <c r="E1451" s="22"/>
      <c r="F1451" s="32"/>
      <c r="G1451" s="97">
        <v>0</v>
      </c>
      <c r="H1451" s="98">
        <v>0</v>
      </c>
    </row>
    <row r="1452" spans="3:8">
      <c r="C1452" s="22"/>
      <c r="D1452" s="58"/>
      <c r="E1452" s="22"/>
      <c r="F1452" s="23"/>
      <c r="G1452" s="30">
        <v>0</v>
      </c>
      <c r="H1452" s="44">
        <v>0</v>
      </c>
    </row>
    <row r="1453" spans="3:8">
      <c r="C1453" s="22"/>
      <c r="D1453" s="58"/>
      <c r="E1453" s="22"/>
      <c r="F1453" s="23"/>
      <c r="G1453" s="30">
        <v>0</v>
      </c>
      <c r="H1453" s="44">
        <v>0</v>
      </c>
    </row>
    <row r="1454" spans="3:8">
      <c r="C1454" s="22"/>
      <c r="D1454" s="58"/>
      <c r="E1454" s="22"/>
      <c r="F1454" s="23"/>
      <c r="G1454" s="30">
        <v>0</v>
      </c>
      <c r="H1454" s="44">
        <v>0</v>
      </c>
    </row>
    <row r="1455" spans="3:8">
      <c r="C1455" s="22"/>
      <c r="D1455" s="58"/>
      <c r="E1455" s="22"/>
      <c r="F1455" s="23"/>
      <c r="G1455" s="30">
        <v>0</v>
      </c>
      <c r="H1455" s="44">
        <v>0</v>
      </c>
    </row>
    <row r="1456" spans="3:8">
      <c r="C1456" s="22"/>
      <c r="D1456" s="58"/>
      <c r="E1456" s="22"/>
      <c r="F1456" s="23"/>
      <c r="G1456" s="30">
        <v>0</v>
      </c>
      <c r="H1456" s="44">
        <v>0</v>
      </c>
    </row>
    <row r="1457" spans="3:8">
      <c r="C1457" s="22"/>
      <c r="D1457" s="58"/>
      <c r="E1457" s="22"/>
      <c r="F1457" s="23"/>
      <c r="G1457" s="45">
        <v>0</v>
      </c>
      <c r="H1457" s="44">
        <v>0</v>
      </c>
    </row>
    <row r="1458" spans="3:8">
      <c r="C1458" s="22"/>
      <c r="D1458" s="27"/>
      <c r="E1458" s="22"/>
      <c r="F1458" s="32"/>
      <c r="G1458" s="30">
        <v>0</v>
      </c>
      <c r="H1458" s="44">
        <v>0</v>
      </c>
    </row>
    <row r="1459" spans="3:8">
      <c r="C1459" s="34" t="s">
        <v>18</v>
      </c>
      <c r="D1459" s="34"/>
      <c r="E1459" s="34"/>
      <c r="F1459" s="35"/>
      <c r="G1459" s="34"/>
      <c r="H1459" s="36">
        <v>0</v>
      </c>
    </row>
    <row r="1460" spans="3:8">
      <c r="C1460" s="37" t="s">
        <v>19</v>
      </c>
      <c r="D1460" s="38" t="s">
        <v>20</v>
      </c>
      <c r="E1460" s="39"/>
      <c r="F1460" s="46"/>
      <c r="G1460" s="47"/>
      <c r="H1460" s="47">
        <v>0</v>
      </c>
    </row>
    <row r="1461" spans="3:8">
      <c r="C1461" s="28" t="s">
        <v>55</v>
      </c>
      <c r="D1461" s="70" t="s">
        <v>228</v>
      </c>
      <c r="E1461" s="28" t="s">
        <v>198</v>
      </c>
      <c r="F1461" s="23">
        <v>1</v>
      </c>
      <c r="G1461" s="33">
        <v>766.65094999999997</v>
      </c>
      <c r="H1461" s="33">
        <v>766.65094999999997</v>
      </c>
    </row>
    <row r="1462" spans="3:8">
      <c r="C1462" s="28" t="s">
        <v>55</v>
      </c>
      <c r="D1462" s="48" t="s">
        <v>222</v>
      </c>
      <c r="E1462" s="28" t="s">
        <v>6</v>
      </c>
      <c r="F1462" s="23">
        <v>1</v>
      </c>
      <c r="G1462" s="33">
        <v>383.32547499999998</v>
      </c>
      <c r="H1462" s="33">
        <v>383.32547499999998</v>
      </c>
    </row>
    <row r="1463" spans="3:8">
      <c r="C1463" s="28"/>
      <c r="D1463" s="48"/>
      <c r="E1463" s="28"/>
      <c r="F1463" s="23"/>
      <c r="G1463" s="33">
        <v>0</v>
      </c>
      <c r="H1463" s="44">
        <v>0</v>
      </c>
    </row>
    <row r="1464" spans="3:8">
      <c r="C1464" s="28"/>
      <c r="D1464" s="48"/>
      <c r="E1464" s="28"/>
      <c r="F1464" s="23"/>
      <c r="G1464" s="33">
        <v>0</v>
      </c>
      <c r="H1464" s="44">
        <v>0</v>
      </c>
    </row>
    <row r="1465" spans="3:8">
      <c r="C1465" s="28"/>
      <c r="D1465" s="48"/>
      <c r="E1465" s="28"/>
      <c r="F1465" s="23"/>
      <c r="G1465" s="33">
        <v>0</v>
      </c>
      <c r="H1465" s="44">
        <v>0</v>
      </c>
    </row>
    <row r="1466" spans="3:8">
      <c r="C1466" s="28"/>
      <c r="D1466" s="48"/>
      <c r="E1466" s="28"/>
      <c r="F1466" s="23"/>
      <c r="G1466" s="33">
        <v>0</v>
      </c>
      <c r="H1466" s="44">
        <v>0</v>
      </c>
    </row>
    <row r="1467" spans="3:8">
      <c r="C1467" s="28"/>
      <c r="D1467" s="48"/>
      <c r="E1467" s="28"/>
      <c r="F1467" s="23"/>
      <c r="G1467" s="33">
        <v>0</v>
      </c>
      <c r="H1467" s="44">
        <v>0</v>
      </c>
    </row>
    <row r="1468" spans="3:8">
      <c r="C1468" s="28"/>
      <c r="D1468" s="48"/>
      <c r="E1468" s="28"/>
      <c r="F1468" s="23"/>
      <c r="G1468" s="33">
        <v>0</v>
      </c>
      <c r="H1468" s="44">
        <v>0</v>
      </c>
    </row>
    <row r="1469" spans="3:8">
      <c r="C1469" s="34" t="s">
        <v>21</v>
      </c>
      <c r="D1469" s="34"/>
      <c r="E1469" s="34"/>
      <c r="F1469" s="35"/>
      <c r="G1469" s="34"/>
      <c r="H1469" s="36">
        <v>1149.9764249999998</v>
      </c>
    </row>
    <row r="1470" spans="3:8" ht="15.75">
      <c r="C1470" s="49" t="s">
        <v>22</v>
      </c>
      <c r="D1470" s="50"/>
      <c r="E1470" s="50"/>
      <c r="F1470" s="51"/>
      <c r="G1470" s="52"/>
      <c r="H1470" s="36">
        <v>1149.9764249999998</v>
      </c>
    </row>
    <row r="1471" spans="3:8" ht="15.75">
      <c r="C1471" s="49" t="s">
        <v>23</v>
      </c>
      <c r="D1471" s="50"/>
      <c r="E1471" s="50"/>
      <c r="F1471" s="51"/>
      <c r="G1471" s="52"/>
      <c r="H1471" s="53">
        <v>283.29833704027988</v>
      </c>
    </row>
    <row r="1472" spans="3:8" ht="15.75">
      <c r="C1472" s="49" t="s">
        <v>24</v>
      </c>
      <c r="D1472" s="50"/>
      <c r="E1472" s="50"/>
      <c r="F1472" s="51"/>
      <c r="G1472" s="52"/>
      <c r="H1472" s="36">
        <v>1433.27</v>
      </c>
    </row>
    <row r="1473" spans="3:8" ht="15.75">
      <c r="C1473" s="84"/>
      <c r="D1473" s="84"/>
      <c r="E1473" s="84"/>
      <c r="F1473" s="85"/>
      <c r="G1473" s="84"/>
      <c r="H1473" s="86"/>
    </row>
    <row r="1474" spans="3:8" ht="30">
      <c r="C1474" s="5" t="s">
        <v>1</v>
      </c>
      <c r="D1474" s="6" t="s">
        <v>229</v>
      </c>
      <c r="E1474" s="6"/>
      <c r="F1474" s="7"/>
      <c r="G1474" s="8"/>
      <c r="H1474" s="9"/>
    </row>
    <row r="1475" spans="3:8">
      <c r="C1475" s="10" t="s">
        <v>3</v>
      </c>
      <c r="D1475" s="11" t="s">
        <v>230</v>
      </c>
      <c r="E1475" s="12"/>
      <c r="F1475" s="13" t="s">
        <v>5</v>
      </c>
      <c r="G1475" s="14" t="s">
        <v>177</v>
      </c>
      <c r="H1475" s="15">
        <v>1863.98</v>
      </c>
    </row>
    <row r="1476" spans="3:8">
      <c r="C1476" s="16" t="s">
        <v>7</v>
      </c>
      <c r="D1476" s="16" t="s">
        <v>8</v>
      </c>
      <c r="E1476" s="16" t="s">
        <v>9</v>
      </c>
      <c r="F1476" s="17" t="s">
        <v>10</v>
      </c>
      <c r="G1476" s="18" t="s">
        <v>11</v>
      </c>
      <c r="H1476" s="18" t="s">
        <v>12</v>
      </c>
    </row>
    <row r="1477" spans="3:8">
      <c r="C1477" s="16"/>
      <c r="D1477" s="16"/>
      <c r="E1477" s="16"/>
      <c r="F1477" s="17"/>
      <c r="G1477" s="19"/>
      <c r="H1477" s="19"/>
    </row>
    <row r="1478" spans="3:8">
      <c r="C1478" s="20" t="s">
        <v>13</v>
      </c>
      <c r="D1478" s="21" t="s">
        <v>14</v>
      </c>
      <c r="E1478" s="22"/>
      <c r="F1478" s="23"/>
      <c r="G1478" s="24"/>
      <c r="H1478" s="25"/>
    </row>
    <row r="1479" spans="3:8">
      <c r="C1479" s="22"/>
      <c r="D1479" s="54"/>
      <c r="E1479" s="22"/>
      <c r="F1479" s="43"/>
      <c r="G1479" s="29">
        <v>0</v>
      </c>
      <c r="H1479" s="30">
        <v>0</v>
      </c>
    </row>
    <row r="1480" spans="3:8">
      <c r="C1480" s="22"/>
      <c r="D1480" s="48"/>
      <c r="E1480" s="22"/>
      <c r="F1480" s="43"/>
      <c r="G1480" s="29">
        <v>0</v>
      </c>
      <c r="H1480" s="30">
        <v>0</v>
      </c>
    </row>
    <row r="1481" spans="3:8">
      <c r="C1481" s="22"/>
      <c r="D1481" s="48"/>
      <c r="E1481" s="22"/>
      <c r="F1481" s="87"/>
      <c r="G1481" s="29">
        <v>0</v>
      </c>
      <c r="H1481" s="30">
        <v>0</v>
      </c>
    </row>
    <row r="1482" spans="3:8">
      <c r="C1482" s="22"/>
      <c r="D1482" s="48"/>
      <c r="E1482" s="22"/>
      <c r="F1482" s="43"/>
      <c r="G1482" s="29">
        <v>0</v>
      </c>
      <c r="H1482" s="30">
        <v>0</v>
      </c>
    </row>
    <row r="1483" spans="3:8">
      <c r="C1483" s="22"/>
      <c r="D1483" s="48"/>
      <c r="E1483" s="81"/>
      <c r="F1483" s="43"/>
      <c r="G1483" s="29">
        <v>0</v>
      </c>
      <c r="H1483" s="30">
        <v>0</v>
      </c>
    </row>
    <row r="1484" spans="3:8">
      <c r="C1484" s="22"/>
      <c r="D1484" s="48"/>
      <c r="E1484" s="22"/>
      <c r="F1484" s="43"/>
      <c r="G1484" s="29">
        <v>0</v>
      </c>
      <c r="H1484" s="30">
        <v>0</v>
      </c>
    </row>
    <row r="1485" spans="3:8">
      <c r="C1485" s="26"/>
      <c r="D1485" s="48"/>
      <c r="E1485" s="22"/>
      <c r="F1485" s="43"/>
      <c r="G1485" s="29">
        <v>0</v>
      </c>
      <c r="H1485" s="30">
        <v>0</v>
      </c>
    </row>
    <row r="1486" spans="3:8">
      <c r="C1486" s="26"/>
      <c r="D1486" s="48"/>
      <c r="E1486" s="22"/>
      <c r="F1486" s="57"/>
      <c r="G1486" s="29">
        <v>0</v>
      </c>
      <c r="H1486" s="30">
        <v>0</v>
      </c>
    </row>
    <row r="1487" spans="3:8">
      <c r="C1487" s="34" t="s">
        <v>15</v>
      </c>
      <c r="D1487" s="34"/>
      <c r="E1487" s="34"/>
      <c r="F1487" s="35"/>
      <c r="G1487" s="34"/>
      <c r="H1487" s="36">
        <v>0</v>
      </c>
    </row>
    <row r="1488" spans="3:8">
      <c r="C1488" s="37" t="s">
        <v>16</v>
      </c>
      <c r="D1488" s="38" t="s">
        <v>17</v>
      </c>
      <c r="E1488" s="39"/>
      <c r="F1488" s="40"/>
      <c r="G1488" s="41"/>
      <c r="H1488" s="41"/>
    </row>
    <row r="1489" spans="3:8">
      <c r="C1489" s="22"/>
      <c r="D1489" s="77"/>
      <c r="E1489" s="22"/>
      <c r="F1489" s="23"/>
      <c r="G1489" s="45">
        <v>0</v>
      </c>
      <c r="H1489" s="44">
        <v>0</v>
      </c>
    </row>
    <row r="1490" spans="3:8">
      <c r="C1490" s="22"/>
      <c r="D1490" s="58"/>
      <c r="E1490" s="22"/>
      <c r="F1490" s="94"/>
      <c r="G1490" s="30">
        <v>0</v>
      </c>
      <c r="H1490" s="44">
        <v>0</v>
      </c>
    </row>
    <row r="1491" spans="3:8">
      <c r="C1491" s="22"/>
      <c r="D1491" s="58"/>
      <c r="E1491" s="22"/>
      <c r="F1491" s="99"/>
      <c r="G1491" s="30">
        <v>0</v>
      </c>
      <c r="H1491" s="44">
        <v>0</v>
      </c>
    </row>
    <row r="1492" spans="3:8">
      <c r="C1492" s="22"/>
      <c r="D1492" s="58"/>
      <c r="E1492" s="22"/>
      <c r="F1492" s="23"/>
      <c r="G1492" s="30">
        <v>0</v>
      </c>
      <c r="H1492" s="44">
        <v>0</v>
      </c>
    </row>
    <row r="1493" spans="3:8">
      <c r="C1493" s="22"/>
      <c r="D1493" s="58"/>
      <c r="E1493" s="22"/>
      <c r="F1493" s="23"/>
      <c r="G1493" s="30">
        <v>0</v>
      </c>
      <c r="H1493" s="44">
        <v>0</v>
      </c>
    </row>
    <row r="1494" spans="3:8">
      <c r="C1494" s="22"/>
      <c r="D1494" s="58"/>
      <c r="E1494" s="22"/>
      <c r="F1494" s="23"/>
      <c r="G1494" s="30">
        <v>0</v>
      </c>
      <c r="H1494" s="44">
        <v>0</v>
      </c>
    </row>
    <row r="1495" spans="3:8">
      <c r="C1495" s="22"/>
      <c r="D1495" s="58"/>
      <c r="E1495" s="22"/>
      <c r="F1495" s="23"/>
      <c r="G1495" s="45">
        <v>0</v>
      </c>
      <c r="H1495" s="44">
        <v>0</v>
      </c>
    </row>
    <row r="1496" spans="3:8">
      <c r="C1496" s="22"/>
      <c r="D1496" s="27"/>
      <c r="E1496" s="22"/>
      <c r="F1496" s="32"/>
      <c r="G1496" s="30">
        <v>0</v>
      </c>
      <c r="H1496" s="44">
        <v>0</v>
      </c>
    </row>
    <row r="1497" spans="3:8">
      <c r="C1497" s="34" t="s">
        <v>18</v>
      </c>
      <c r="D1497" s="34"/>
      <c r="E1497" s="34"/>
      <c r="F1497" s="35"/>
      <c r="G1497" s="34"/>
      <c r="H1497" s="36">
        <v>0</v>
      </c>
    </row>
    <row r="1498" spans="3:8">
      <c r="C1498" s="37" t="s">
        <v>19</v>
      </c>
      <c r="D1498" s="38" t="s">
        <v>20</v>
      </c>
      <c r="E1498" s="39"/>
      <c r="F1498" s="46"/>
      <c r="G1498" s="47"/>
      <c r="H1498" s="47">
        <v>0</v>
      </c>
    </row>
    <row r="1499" spans="3:8" ht="30">
      <c r="C1499" s="28" t="s">
        <v>55</v>
      </c>
      <c r="D1499" s="70" t="s">
        <v>231</v>
      </c>
      <c r="E1499" s="28" t="s">
        <v>198</v>
      </c>
      <c r="F1499" s="23">
        <v>1</v>
      </c>
      <c r="G1499" s="33">
        <v>997.03499999999997</v>
      </c>
      <c r="H1499" s="33">
        <v>997.03499999999997</v>
      </c>
    </row>
    <row r="1500" spans="3:8">
      <c r="C1500" s="28" t="s">
        <v>55</v>
      </c>
      <c r="D1500" s="48" t="s">
        <v>222</v>
      </c>
      <c r="E1500" s="28" t="s">
        <v>6</v>
      </c>
      <c r="F1500" s="23">
        <v>1</v>
      </c>
      <c r="G1500" s="33">
        <v>498.51749999999998</v>
      </c>
      <c r="H1500" s="33">
        <v>498.51749999999998</v>
      </c>
    </row>
    <row r="1501" spans="3:8">
      <c r="C1501" s="28"/>
      <c r="D1501" s="48"/>
      <c r="E1501" s="28"/>
      <c r="F1501" s="23"/>
      <c r="G1501" s="33">
        <v>0</v>
      </c>
      <c r="H1501" s="44">
        <v>0</v>
      </c>
    </row>
    <row r="1502" spans="3:8">
      <c r="C1502" s="28"/>
      <c r="D1502" s="48"/>
      <c r="E1502" s="28"/>
      <c r="F1502" s="23"/>
      <c r="G1502" s="33">
        <v>0</v>
      </c>
      <c r="H1502" s="44">
        <v>0</v>
      </c>
    </row>
    <row r="1503" spans="3:8">
      <c r="C1503" s="28"/>
      <c r="D1503" s="48"/>
      <c r="E1503" s="28"/>
      <c r="F1503" s="23"/>
      <c r="G1503" s="33">
        <v>0</v>
      </c>
      <c r="H1503" s="44">
        <v>0</v>
      </c>
    </row>
    <row r="1504" spans="3:8">
      <c r="C1504" s="28"/>
      <c r="D1504" s="48"/>
      <c r="E1504" s="28"/>
      <c r="F1504" s="23"/>
      <c r="G1504" s="33">
        <v>0</v>
      </c>
      <c r="H1504" s="44">
        <v>0</v>
      </c>
    </row>
    <row r="1505" spans="3:8">
      <c r="C1505" s="28"/>
      <c r="D1505" s="48"/>
      <c r="E1505" s="28"/>
      <c r="F1505" s="23"/>
      <c r="G1505" s="33">
        <v>0</v>
      </c>
      <c r="H1505" s="44">
        <v>0</v>
      </c>
    </row>
    <row r="1506" spans="3:8">
      <c r="C1506" s="28"/>
      <c r="D1506" s="48"/>
      <c r="E1506" s="28"/>
      <c r="F1506" s="23"/>
      <c r="G1506" s="33">
        <v>0</v>
      </c>
      <c r="H1506" s="44">
        <v>0</v>
      </c>
    </row>
    <row r="1507" spans="3:8">
      <c r="C1507" s="34" t="s">
        <v>21</v>
      </c>
      <c r="D1507" s="34"/>
      <c r="E1507" s="34"/>
      <c r="F1507" s="35"/>
      <c r="G1507" s="34"/>
      <c r="H1507" s="36">
        <v>1495.5525</v>
      </c>
    </row>
    <row r="1508" spans="3:8" ht="15.75">
      <c r="C1508" s="49" t="s">
        <v>22</v>
      </c>
      <c r="D1508" s="50"/>
      <c r="E1508" s="50"/>
      <c r="F1508" s="51"/>
      <c r="G1508" s="52"/>
      <c r="H1508" s="36">
        <v>1495.5525</v>
      </c>
    </row>
    <row r="1509" spans="3:8" ht="15.75">
      <c r="C1509" s="49" t="s">
        <v>23</v>
      </c>
      <c r="D1509" s="50"/>
      <c r="E1509" s="50"/>
      <c r="F1509" s="51"/>
      <c r="G1509" s="52"/>
      <c r="H1509" s="53">
        <v>368.4314973730294</v>
      </c>
    </row>
    <row r="1510" spans="3:8" ht="15.75">
      <c r="C1510" s="49" t="s">
        <v>24</v>
      </c>
      <c r="D1510" s="50"/>
      <c r="E1510" s="50"/>
      <c r="F1510" s="51"/>
      <c r="G1510" s="52"/>
      <c r="H1510" s="36">
        <v>1863.98</v>
      </c>
    </row>
    <row r="1511" spans="3:8" ht="15.75">
      <c r="C1511" s="84"/>
      <c r="D1511" s="84"/>
      <c r="E1511" s="84"/>
      <c r="F1511" s="85"/>
      <c r="G1511" s="84"/>
      <c r="H1511" s="86"/>
    </row>
    <row r="1512" spans="3:8" ht="30">
      <c r="C1512" s="5" t="s">
        <v>1</v>
      </c>
      <c r="D1512" s="6" t="s">
        <v>232</v>
      </c>
      <c r="E1512" s="6"/>
      <c r="F1512" s="7"/>
      <c r="G1512" s="8"/>
      <c r="H1512" s="9"/>
    </row>
    <row r="1513" spans="3:8">
      <c r="C1513" s="10" t="s">
        <v>3</v>
      </c>
      <c r="D1513" s="11" t="s">
        <v>233</v>
      </c>
      <c r="E1513" s="12"/>
      <c r="F1513" s="13" t="s">
        <v>5</v>
      </c>
      <c r="G1513" s="14" t="s">
        <v>177</v>
      </c>
      <c r="H1513" s="15">
        <v>2143.58</v>
      </c>
    </row>
    <row r="1514" spans="3:8">
      <c r="C1514" s="16" t="s">
        <v>7</v>
      </c>
      <c r="D1514" s="16" t="s">
        <v>8</v>
      </c>
      <c r="E1514" s="16" t="s">
        <v>9</v>
      </c>
      <c r="F1514" s="17" t="s">
        <v>10</v>
      </c>
      <c r="G1514" s="18" t="s">
        <v>11</v>
      </c>
      <c r="H1514" s="18" t="s">
        <v>12</v>
      </c>
    </row>
    <row r="1515" spans="3:8">
      <c r="C1515" s="16"/>
      <c r="D1515" s="16"/>
      <c r="E1515" s="16"/>
      <c r="F1515" s="17"/>
      <c r="G1515" s="19"/>
      <c r="H1515" s="19"/>
    </row>
    <row r="1516" spans="3:8">
      <c r="C1516" s="20" t="s">
        <v>13</v>
      </c>
      <c r="D1516" s="21" t="s">
        <v>14</v>
      </c>
      <c r="E1516" s="22"/>
      <c r="F1516" s="23"/>
      <c r="G1516" s="24"/>
      <c r="H1516" s="25"/>
    </row>
    <row r="1517" spans="3:8">
      <c r="C1517" s="22"/>
      <c r="D1517" s="54"/>
      <c r="E1517" s="22"/>
      <c r="F1517" s="43"/>
      <c r="G1517" s="33">
        <v>0</v>
      </c>
      <c r="H1517" s="30">
        <v>0</v>
      </c>
    </row>
    <row r="1518" spans="3:8">
      <c r="C1518" s="22"/>
      <c r="D1518" s="48"/>
      <c r="E1518" s="22"/>
      <c r="F1518" s="43"/>
      <c r="G1518" s="33">
        <v>0</v>
      </c>
      <c r="H1518" s="30">
        <v>0</v>
      </c>
    </row>
    <row r="1519" spans="3:8">
      <c r="C1519" s="22"/>
      <c r="D1519" s="48"/>
      <c r="E1519" s="22"/>
      <c r="F1519" s="87"/>
      <c r="G1519" s="33">
        <v>0</v>
      </c>
      <c r="H1519" s="30">
        <v>0</v>
      </c>
    </row>
    <row r="1520" spans="3:8">
      <c r="C1520" s="22"/>
      <c r="D1520" s="48"/>
      <c r="E1520" s="22"/>
      <c r="F1520" s="43"/>
      <c r="G1520" s="29">
        <v>0</v>
      </c>
      <c r="H1520" s="30">
        <v>0</v>
      </c>
    </row>
    <row r="1521" spans="3:8">
      <c r="C1521" s="22"/>
      <c r="D1521" s="48"/>
      <c r="E1521" s="81"/>
      <c r="F1521" s="43"/>
      <c r="G1521" s="29">
        <v>0</v>
      </c>
      <c r="H1521" s="30">
        <v>0</v>
      </c>
    </row>
    <row r="1522" spans="3:8">
      <c r="C1522" s="22"/>
      <c r="D1522" s="48"/>
      <c r="E1522" s="22"/>
      <c r="F1522" s="43"/>
      <c r="G1522" s="29">
        <v>0</v>
      </c>
      <c r="H1522" s="30">
        <v>0</v>
      </c>
    </row>
    <row r="1523" spans="3:8">
      <c r="C1523" s="26"/>
      <c r="D1523" s="48"/>
      <c r="E1523" s="22"/>
      <c r="F1523" s="43"/>
      <c r="G1523" s="29">
        <v>0</v>
      </c>
      <c r="H1523" s="30">
        <v>0</v>
      </c>
    </row>
    <row r="1524" spans="3:8">
      <c r="C1524" s="26"/>
      <c r="D1524" s="48"/>
      <c r="E1524" s="22"/>
      <c r="F1524" s="57"/>
      <c r="G1524" s="29">
        <v>0</v>
      </c>
      <c r="H1524" s="30">
        <v>0</v>
      </c>
    </row>
    <row r="1525" spans="3:8">
      <c r="C1525" s="34" t="s">
        <v>15</v>
      </c>
      <c r="D1525" s="34"/>
      <c r="E1525" s="34"/>
      <c r="F1525" s="35"/>
      <c r="G1525" s="34"/>
      <c r="H1525" s="36">
        <v>0</v>
      </c>
    </row>
    <row r="1526" spans="3:8">
      <c r="C1526" s="37" t="s">
        <v>16</v>
      </c>
      <c r="D1526" s="38" t="s">
        <v>17</v>
      </c>
      <c r="E1526" s="39"/>
      <c r="F1526" s="40"/>
      <c r="G1526" s="41"/>
      <c r="H1526" s="41"/>
    </row>
    <row r="1527" spans="3:8">
      <c r="C1527" s="22"/>
      <c r="D1527" s="77"/>
      <c r="E1527" s="22"/>
      <c r="F1527" s="23"/>
      <c r="G1527" s="45">
        <v>0</v>
      </c>
      <c r="H1527" s="44">
        <v>0</v>
      </c>
    </row>
    <row r="1528" spans="3:8">
      <c r="C1528" s="22"/>
      <c r="D1528" s="58"/>
      <c r="E1528" s="22"/>
      <c r="F1528" s="94"/>
      <c r="G1528" s="30">
        <v>0</v>
      </c>
      <c r="H1528" s="44">
        <v>0</v>
      </c>
    </row>
    <row r="1529" spans="3:8">
      <c r="C1529" s="22"/>
      <c r="D1529" s="58"/>
      <c r="E1529" s="22"/>
      <c r="F1529" s="99"/>
      <c r="G1529" s="30">
        <v>0</v>
      </c>
      <c r="H1529" s="44">
        <v>0</v>
      </c>
    </row>
    <row r="1530" spans="3:8">
      <c r="C1530" s="22"/>
      <c r="D1530" s="58"/>
      <c r="E1530" s="22"/>
      <c r="F1530" s="23"/>
      <c r="G1530" s="30">
        <v>0</v>
      </c>
      <c r="H1530" s="44">
        <v>0</v>
      </c>
    </row>
    <row r="1531" spans="3:8">
      <c r="C1531" s="22"/>
      <c r="D1531" s="56"/>
      <c r="E1531" s="22"/>
      <c r="F1531" s="23"/>
      <c r="G1531" s="30">
        <v>0</v>
      </c>
      <c r="H1531" s="44">
        <v>0</v>
      </c>
    </row>
    <row r="1532" spans="3:8">
      <c r="C1532" s="22"/>
      <c r="D1532" s="58"/>
      <c r="E1532" s="22"/>
      <c r="F1532" s="23"/>
      <c r="G1532" s="30">
        <v>0</v>
      </c>
      <c r="H1532" s="44">
        <v>0</v>
      </c>
    </row>
    <row r="1533" spans="3:8">
      <c r="C1533" s="22"/>
      <c r="D1533" s="58"/>
      <c r="E1533" s="22"/>
      <c r="F1533" s="23"/>
      <c r="G1533" s="45">
        <v>0</v>
      </c>
      <c r="H1533" s="44">
        <v>0</v>
      </c>
    </row>
    <row r="1534" spans="3:8">
      <c r="C1534" s="22"/>
      <c r="D1534" s="27"/>
      <c r="E1534" s="22"/>
      <c r="F1534" s="32"/>
      <c r="G1534" s="30">
        <v>0</v>
      </c>
      <c r="H1534" s="44">
        <v>0</v>
      </c>
    </row>
    <row r="1535" spans="3:8">
      <c r="C1535" s="34" t="s">
        <v>18</v>
      </c>
      <c r="D1535" s="34"/>
      <c r="E1535" s="34"/>
      <c r="F1535" s="35"/>
      <c r="G1535" s="34"/>
      <c r="H1535" s="36">
        <v>0</v>
      </c>
    </row>
    <row r="1536" spans="3:8">
      <c r="C1536" s="37" t="s">
        <v>19</v>
      </c>
      <c r="D1536" s="38" t="s">
        <v>20</v>
      </c>
      <c r="E1536" s="39"/>
      <c r="F1536" s="46"/>
      <c r="G1536" s="47"/>
      <c r="H1536" s="47">
        <v>0</v>
      </c>
    </row>
    <row r="1537" spans="3:8" ht="30">
      <c r="C1537" s="28" t="s">
        <v>55</v>
      </c>
      <c r="D1537" s="70" t="s">
        <v>234</v>
      </c>
      <c r="E1537" s="28" t="s">
        <v>198</v>
      </c>
      <c r="F1537" s="23">
        <v>1</v>
      </c>
      <c r="G1537" s="33">
        <v>1146.59025</v>
      </c>
      <c r="H1537" s="33">
        <v>1146.59025</v>
      </c>
    </row>
    <row r="1538" spans="3:8">
      <c r="C1538" s="28" t="s">
        <v>55</v>
      </c>
      <c r="D1538" s="48" t="s">
        <v>222</v>
      </c>
      <c r="E1538" s="28" t="s">
        <v>6</v>
      </c>
      <c r="F1538" s="23">
        <v>1</v>
      </c>
      <c r="G1538" s="33">
        <v>573.29512499999998</v>
      </c>
      <c r="H1538" s="33">
        <v>573.29512499999998</v>
      </c>
    </row>
    <row r="1539" spans="3:8">
      <c r="C1539" s="28"/>
      <c r="D1539" s="48"/>
      <c r="E1539" s="28"/>
      <c r="F1539" s="23"/>
      <c r="G1539" s="33">
        <v>0</v>
      </c>
      <c r="H1539" s="44">
        <v>0</v>
      </c>
    </row>
    <row r="1540" spans="3:8">
      <c r="C1540" s="28"/>
      <c r="D1540" s="48"/>
      <c r="E1540" s="28"/>
      <c r="F1540" s="23"/>
      <c r="G1540" s="33">
        <v>0</v>
      </c>
      <c r="H1540" s="44">
        <v>0</v>
      </c>
    </row>
    <row r="1541" spans="3:8">
      <c r="C1541" s="28"/>
      <c r="D1541" s="48"/>
      <c r="E1541" s="28"/>
      <c r="F1541" s="23"/>
      <c r="G1541" s="33">
        <v>0</v>
      </c>
      <c r="H1541" s="44">
        <v>0</v>
      </c>
    </row>
    <row r="1542" spans="3:8">
      <c r="C1542" s="28"/>
      <c r="D1542" s="48"/>
      <c r="E1542" s="28"/>
      <c r="F1542" s="23"/>
      <c r="G1542" s="33">
        <v>0</v>
      </c>
      <c r="H1542" s="44">
        <v>0</v>
      </c>
    </row>
    <row r="1543" spans="3:8">
      <c r="C1543" s="28"/>
      <c r="D1543" s="48"/>
      <c r="E1543" s="28"/>
      <c r="F1543" s="23"/>
      <c r="G1543" s="33">
        <v>0</v>
      </c>
      <c r="H1543" s="44">
        <v>0</v>
      </c>
    </row>
    <row r="1544" spans="3:8">
      <c r="C1544" s="28"/>
      <c r="D1544" s="48"/>
      <c r="E1544" s="28"/>
      <c r="F1544" s="23"/>
      <c r="G1544" s="33">
        <v>0</v>
      </c>
      <c r="H1544" s="44">
        <v>0</v>
      </c>
    </row>
    <row r="1545" spans="3:8">
      <c r="C1545" s="34" t="s">
        <v>21</v>
      </c>
      <c r="D1545" s="34"/>
      <c r="E1545" s="34"/>
      <c r="F1545" s="35"/>
      <c r="G1545" s="34"/>
      <c r="H1545" s="36">
        <v>1719.8853749999998</v>
      </c>
    </row>
    <row r="1546" spans="3:8" ht="15.75">
      <c r="C1546" s="49" t="s">
        <v>22</v>
      </c>
      <c r="D1546" s="50"/>
      <c r="E1546" s="50"/>
      <c r="F1546" s="51"/>
      <c r="G1546" s="52"/>
      <c r="H1546" s="36">
        <v>1719.8853749999998</v>
      </c>
    </row>
    <row r="1547" spans="3:8" ht="15.75">
      <c r="C1547" s="49" t="s">
        <v>23</v>
      </c>
      <c r="D1547" s="50"/>
      <c r="E1547" s="50"/>
      <c r="F1547" s="51"/>
      <c r="G1547" s="52"/>
      <c r="H1547" s="53">
        <v>423.69622197898377</v>
      </c>
    </row>
    <row r="1548" spans="3:8" ht="15.75">
      <c r="C1548" s="49" t="s">
        <v>24</v>
      </c>
      <c r="D1548" s="50"/>
      <c r="E1548" s="50"/>
      <c r="F1548" s="51"/>
      <c r="G1548" s="52"/>
      <c r="H1548" s="36">
        <v>2143.58</v>
      </c>
    </row>
    <row r="1549" spans="3:8" ht="15.75">
      <c r="C1549" s="84"/>
      <c r="D1549" s="84"/>
      <c r="E1549" s="84"/>
      <c r="F1549" s="85"/>
      <c r="G1549" s="84"/>
      <c r="H1549" s="86"/>
    </row>
    <row r="1550" spans="3:8" ht="30">
      <c r="C1550" s="5" t="s">
        <v>1</v>
      </c>
      <c r="D1550" s="6" t="s">
        <v>235</v>
      </c>
      <c r="E1550" s="6"/>
      <c r="F1550" s="7"/>
      <c r="G1550" s="8"/>
      <c r="H1550" s="9"/>
    </row>
    <row r="1551" spans="3:8">
      <c r="C1551" s="10" t="s">
        <v>3</v>
      </c>
      <c r="D1551" s="11" t="s">
        <v>236</v>
      </c>
      <c r="E1551" s="12"/>
      <c r="F1551" s="13" t="s">
        <v>5</v>
      </c>
      <c r="G1551" s="14" t="s">
        <v>177</v>
      </c>
      <c r="H1551" s="15">
        <v>3982.88</v>
      </c>
    </row>
    <row r="1552" spans="3:8">
      <c r="C1552" s="16" t="s">
        <v>7</v>
      </c>
      <c r="D1552" s="16" t="s">
        <v>8</v>
      </c>
      <c r="E1552" s="16" t="s">
        <v>9</v>
      </c>
      <c r="F1552" s="17" t="s">
        <v>10</v>
      </c>
      <c r="G1552" s="18" t="s">
        <v>11</v>
      </c>
      <c r="H1552" s="18" t="s">
        <v>12</v>
      </c>
    </row>
    <row r="1553" spans="3:8">
      <c r="C1553" s="16"/>
      <c r="D1553" s="16"/>
      <c r="E1553" s="16"/>
      <c r="F1553" s="17"/>
      <c r="G1553" s="19"/>
      <c r="H1553" s="19"/>
    </row>
    <row r="1554" spans="3:8">
      <c r="C1554" s="20" t="s">
        <v>13</v>
      </c>
      <c r="D1554" s="21" t="s">
        <v>14</v>
      </c>
      <c r="E1554" s="22"/>
      <c r="F1554" s="23"/>
      <c r="G1554" s="24"/>
      <c r="H1554" s="25"/>
    </row>
    <row r="1555" spans="3:8">
      <c r="C1555" s="22"/>
      <c r="D1555" s="54"/>
      <c r="E1555" s="22"/>
      <c r="F1555" s="43"/>
      <c r="G1555" s="33">
        <v>0</v>
      </c>
      <c r="H1555" s="30">
        <v>0</v>
      </c>
    </row>
    <row r="1556" spans="3:8">
      <c r="C1556" s="22"/>
      <c r="D1556" s="48"/>
      <c r="E1556" s="22"/>
      <c r="F1556" s="43"/>
      <c r="G1556" s="29">
        <v>0</v>
      </c>
      <c r="H1556" s="30">
        <v>0</v>
      </c>
    </row>
    <row r="1557" spans="3:8">
      <c r="C1557" s="22"/>
      <c r="D1557" s="48"/>
      <c r="E1557" s="22"/>
      <c r="F1557" s="43"/>
      <c r="G1557" s="29">
        <v>0</v>
      </c>
      <c r="H1557" s="30">
        <v>0</v>
      </c>
    </row>
    <row r="1558" spans="3:8">
      <c r="C1558" s="22"/>
      <c r="D1558" s="48"/>
      <c r="E1558" s="22"/>
      <c r="F1558" s="43"/>
      <c r="G1558" s="29">
        <v>0</v>
      </c>
      <c r="H1558" s="30">
        <v>0</v>
      </c>
    </row>
    <row r="1559" spans="3:8">
      <c r="C1559" s="22"/>
      <c r="D1559" s="48"/>
      <c r="E1559" s="81"/>
      <c r="F1559" s="43"/>
      <c r="G1559" s="29">
        <v>0</v>
      </c>
      <c r="H1559" s="30">
        <v>0</v>
      </c>
    </row>
    <row r="1560" spans="3:8">
      <c r="C1560" s="22"/>
      <c r="D1560" s="48"/>
      <c r="E1560" s="22"/>
      <c r="F1560" s="43"/>
      <c r="G1560" s="29">
        <v>0</v>
      </c>
      <c r="H1560" s="30">
        <v>0</v>
      </c>
    </row>
    <row r="1561" spans="3:8">
      <c r="C1561" s="26"/>
      <c r="D1561" s="48"/>
      <c r="E1561" s="22"/>
      <c r="F1561" s="43"/>
      <c r="G1561" s="29">
        <v>0</v>
      </c>
      <c r="H1561" s="30">
        <v>0</v>
      </c>
    </row>
    <row r="1562" spans="3:8">
      <c r="C1562" s="26"/>
      <c r="D1562" s="48"/>
      <c r="E1562" s="22"/>
      <c r="F1562" s="57"/>
      <c r="G1562" s="29">
        <v>0</v>
      </c>
      <c r="H1562" s="30">
        <v>0</v>
      </c>
    </row>
    <row r="1563" spans="3:8">
      <c r="C1563" s="34" t="s">
        <v>15</v>
      </c>
      <c r="D1563" s="34"/>
      <c r="E1563" s="34"/>
      <c r="F1563" s="35"/>
      <c r="G1563" s="34"/>
      <c r="H1563" s="36">
        <v>0</v>
      </c>
    </row>
    <row r="1564" spans="3:8">
      <c r="C1564" s="37" t="s">
        <v>16</v>
      </c>
      <c r="D1564" s="38" t="s">
        <v>17</v>
      </c>
      <c r="E1564" s="39"/>
      <c r="F1564" s="40"/>
      <c r="G1564" s="41"/>
      <c r="H1564" s="41"/>
    </row>
    <row r="1565" spans="3:8">
      <c r="C1565" s="22"/>
      <c r="D1565" s="27"/>
      <c r="E1565" s="22"/>
      <c r="F1565" s="23"/>
      <c r="G1565" s="30">
        <v>0</v>
      </c>
      <c r="H1565" s="44">
        <v>0</v>
      </c>
    </row>
    <row r="1566" spans="3:8">
      <c r="C1566" s="22"/>
      <c r="D1566" s="58"/>
      <c r="E1566" s="22"/>
      <c r="F1566" s="23"/>
      <c r="G1566" s="30">
        <v>0</v>
      </c>
      <c r="H1566" s="44">
        <v>0</v>
      </c>
    </row>
    <row r="1567" spans="3:8">
      <c r="C1567" s="22"/>
      <c r="D1567" s="58"/>
      <c r="E1567" s="22"/>
      <c r="F1567" s="23"/>
      <c r="G1567" s="30">
        <v>0</v>
      </c>
      <c r="H1567" s="44">
        <v>0</v>
      </c>
    </row>
    <row r="1568" spans="3:8">
      <c r="C1568" s="22"/>
      <c r="D1568" s="58"/>
      <c r="E1568" s="22"/>
      <c r="F1568" s="23"/>
      <c r="G1568" s="30">
        <v>0</v>
      </c>
      <c r="H1568" s="44">
        <v>0</v>
      </c>
    </row>
    <row r="1569" spans="3:8">
      <c r="C1569" s="22"/>
      <c r="D1569" s="58"/>
      <c r="E1569" s="22"/>
      <c r="F1569" s="23"/>
      <c r="G1569" s="30">
        <v>0</v>
      </c>
      <c r="H1569" s="44">
        <v>0</v>
      </c>
    </row>
    <row r="1570" spans="3:8">
      <c r="C1570" s="22"/>
      <c r="D1570" s="58"/>
      <c r="E1570" s="22"/>
      <c r="F1570" s="23"/>
      <c r="G1570" s="30">
        <v>0</v>
      </c>
      <c r="H1570" s="44">
        <v>0</v>
      </c>
    </row>
    <row r="1571" spans="3:8">
      <c r="C1571" s="22"/>
      <c r="D1571" s="58"/>
      <c r="E1571" s="22"/>
      <c r="F1571" s="23"/>
      <c r="G1571" s="45">
        <v>0</v>
      </c>
      <c r="H1571" s="44">
        <v>0</v>
      </c>
    </row>
    <row r="1572" spans="3:8">
      <c r="C1572" s="22"/>
      <c r="D1572" s="27"/>
      <c r="E1572" s="22"/>
      <c r="F1572" s="32"/>
      <c r="G1572" s="30">
        <v>0</v>
      </c>
      <c r="H1572" s="44">
        <v>0</v>
      </c>
    </row>
    <row r="1573" spans="3:8">
      <c r="C1573" s="34" t="s">
        <v>18</v>
      </c>
      <c r="D1573" s="34"/>
      <c r="E1573" s="34"/>
      <c r="F1573" s="35"/>
      <c r="G1573" s="34"/>
      <c r="H1573" s="36">
        <v>0</v>
      </c>
    </row>
    <row r="1574" spans="3:8">
      <c r="C1574" s="37" t="s">
        <v>19</v>
      </c>
      <c r="D1574" s="38" t="s">
        <v>20</v>
      </c>
      <c r="E1574" s="39"/>
      <c r="F1574" s="46"/>
      <c r="G1574" s="47"/>
      <c r="H1574" s="47">
        <v>0</v>
      </c>
    </row>
    <row r="1575" spans="3:8" ht="30">
      <c r="C1575" s="28" t="s">
        <v>55</v>
      </c>
      <c r="D1575" s="70" t="s">
        <v>237</v>
      </c>
      <c r="E1575" s="28" t="s">
        <v>198</v>
      </c>
      <c r="F1575" s="23">
        <v>1</v>
      </c>
      <c r="G1575" s="33">
        <v>2130.4198499999998</v>
      </c>
      <c r="H1575" s="33">
        <v>2130.4198499999998</v>
      </c>
    </row>
    <row r="1576" spans="3:8">
      <c r="C1576" s="28" t="s">
        <v>55</v>
      </c>
      <c r="D1576" s="48" t="s">
        <v>222</v>
      </c>
      <c r="E1576" s="28" t="s">
        <v>6</v>
      </c>
      <c r="F1576" s="23">
        <v>1</v>
      </c>
      <c r="G1576" s="33">
        <v>1065.2099249999999</v>
      </c>
      <c r="H1576" s="33">
        <v>1065.2099249999999</v>
      </c>
    </row>
    <row r="1577" spans="3:8">
      <c r="C1577" s="28"/>
      <c r="D1577" s="48"/>
      <c r="E1577" s="28"/>
      <c r="F1577" s="23"/>
      <c r="G1577" s="33">
        <v>0</v>
      </c>
      <c r="H1577" s="44">
        <v>0</v>
      </c>
    </row>
    <row r="1578" spans="3:8">
      <c r="C1578" s="28"/>
      <c r="D1578" s="48"/>
      <c r="E1578" s="28"/>
      <c r="F1578" s="23"/>
      <c r="G1578" s="33">
        <v>0</v>
      </c>
      <c r="H1578" s="44">
        <v>0</v>
      </c>
    </row>
    <row r="1579" spans="3:8">
      <c r="C1579" s="28"/>
      <c r="D1579" s="48"/>
      <c r="E1579" s="28"/>
      <c r="F1579" s="23"/>
      <c r="G1579" s="33">
        <v>0</v>
      </c>
      <c r="H1579" s="44">
        <v>0</v>
      </c>
    </row>
    <row r="1580" spans="3:8">
      <c r="C1580" s="28"/>
      <c r="D1580" s="48"/>
      <c r="E1580" s="28"/>
      <c r="F1580" s="23"/>
      <c r="G1580" s="33">
        <v>0</v>
      </c>
      <c r="H1580" s="44">
        <v>0</v>
      </c>
    </row>
    <row r="1581" spans="3:8">
      <c r="C1581" s="28"/>
      <c r="D1581" s="48"/>
      <c r="E1581" s="28"/>
      <c r="F1581" s="23"/>
      <c r="G1581" s="33">
        <v>0</v>
      </c>
      <c r="H1581" s="44">
        <v>0</v>
      </c>
    </row>
    <row r="1582" spans="3:8">
      <c r="C1582" s="28"/>
      <c r="D1582" s="48"/>
      <c r="E1582" s="28"/>
      <c r="F1582" s="23"/>
      <c r="G1582" s="33">
        <v>0</v>
      </c>
      <c r="H1582" s="44">
        <v>0</v>
      </c>
    </row>
    <row r="1583" spans="3:8">
      <c r="C1583" s="34" t="s">
        <v>21</v>
      </c>
      <c r="D1583" s="34"/>
      <c r="E1583" s="34"/>
      <c r="F1583" s="35"/>
      <c r="G1583" s="34"/>
      <c r="H1583" s="36">
        <v>3195.6297749999994</v>
      </c>
    </row>
    <row r="1584" spans="3:8" ht="15.75">
      <c r="C1584" s="49" t="s">
        <v>22</v>
      </c>
      <c r="D1584" s="50"/>
      <c r="E1584" s="50"/>
      <c r="F1584" s="51"/>
      <c r="G1584" s="52"/>
      <c r="H1584" s="36">
        <v>3195.6297749999994</v>
      </c>
    </row>
    <row r="1585" spans="3:8" ht="15.75">
      <c r="C1585" s="49" t="s">
        <v>23</v>
      </c>
      <c r="D1585" s="50"/>
      <c r="E1585" s="50"/>
      <c r="F1585" s="51"/>
      <c r="G1585" s="52"/>
      <c r="H1585" s="53">
        <v>787.24796558668902</v>
      </c>
    </row>
    <row r="1586" spans="3:8" ht="15.75">
      <c r="C1586" s="49" t="s">
        <v>24</v>
      </c>
      <c r="D1586" s="50"/>
      <c r="E1586" s="50"/>
      <c r="F1586" s="51"/>
      <c r="G1586" s="52"/>
      <c r="H1586" s="36">
        <v>3982.88</v>
      </c>
    </row>
    <row r="1587" spans="3:8" ht="15.75">
      <c r="C1587" s="84"/>
      <c r="D1587" s="84"/>
      <c r="E1587" s="84"/>
      <c r="F1587" s="85"/>
      <c r="G1587" s="84"/>
      <c r="H1587" s="86"/>
    </row>
    <row r="1588" spans="3:8" ht="30">
      <c r="C1588" s="5" t="s">
        <v>1</v>
      </c>
      <c r="D1588" s="6" t="s">
        <v>238</v>
      </c>
      <c r="E1588" s="6"/>
      <c r="F1588" s="7"/>
      <c r="G1588" s="8"/>
      <c r="H1588" s="9"/>
    </row>
    <row r="1589" spans="3:8">
      <c r="C1589" s="10" t="s">
        <v>3</v>
      </c>
      <c r="D1589" s="11" t="s">
        <v>239</v>
      </c>
      <c r="E1589" s="12"/>
      <c r="F1589" s="13" t="s">
        <v>5</v>
      </c>
      <c r="G1589" s="14" t="s">
        <v>106</v>
      </c>
      <c r="H1589" s="15">
        <v>44707.97</v>
      </c>
    </row>
    <row r="1590" spans="3:8">
      <c r="C1590" s="16" t="s">
        <v>7</v>
      </c>
      <c r="D1590" s="16" t="s">
        <v>8</v>
      </c>
      <c r="E1590" s="16" t="s">
        <v>9</v>
      </c>
      <c r="F1590" s="17" t="s">
        <v>10</v>
      </c>
      <c r="G1590" s="18" t="s">
        <v>11</v>
      </c>
      <c r="H1590" s="18" t="s">
        <v>12</v>
      </c>
    </row>
    <row r="1591" spans="3:8">
      <c r="C1591" s="16"/>
      <c r="D1591" s="16"/>
      <c r="E1591" s="16"/>
      <c r="F1591" s="17"/>
      <c r="G1591" s="19"/>
      <c r="H1591" s="19"/>
    </row>
    <row r="1592" spans="3:8">
      <c r="C1592" s="20" t="s">
        <v>13</v>
      </c>
      <c r="D1592" s="21" t="s">
        <v>14</v>
      </c>
      <c r="E1592" s="22"/>
      <c r="F1592" s="23"/>
      <c r="G1592" s="24"/>
      <c r="H1592" s="25"/>
    </row>
    <row r="1593" spans="3:8">
      <c r="C1593" s="22"/>
      <c r="D1593" s="54"/>
      <c r="E1593" s="22"/>
      <c r="F1593" s="43"/>
      <c r="G1593" s="33">
        <v>0</v>
      </c>
      <c r="H1593" s="30">
        <v>0</v>
      </c>
    </row>
    <row r="1594" spans="3:8">
      <c r="C1594" s="22"/>
      <c r="D1594" s="48"/>
      <c r="E1594" s="22"/>
      <c r="F1594" s="43"/>
      <c r="G1594" s="29">
        <v>0</v>
      </c>
      <c r="H1594" s="30">
        <v>0</v>
      </c>
    </row>
    <row r="1595" spans="3:8">
      <c r="C1595" s="22"/>
      <c r="D1595" s="48"/>
      <c r="E1595" s="22"/>
      <c r="F1595" s="43"/>
      <c r="G1595" s="29">
        <v>0</v>
      </c>
      <c r="H1595" s="30">
        <v>0</v>
      </c>
    </row>
    <row r="1596" spans="3:8">
      <c r="C1596" s="22"/>
      <c r="D1596" s="48"/>
      <c r="E1596" s="22"/>
      <c r="F1596" s="43"/>
      <c r="G1596" s="29">
        <v>0</v>
      </c>
      <c r="H1596" s="30">
        <v>0</v>
      </c>
    </row>
    <row r="1597" spans="3:8">
      <c r="C1597" s="22"/>
      <c r="D1597" s="48"/>
      <c r="E1597" s="81"/>
      <c r="F1597" s="43"/>
      <c r="G1597" s="29">
        <v>0</v>
      </c>
      <c r="H1597" s="30">
        <v>0</v>
      </c>
    </row>
    <row r="1598" spans="3:8">
      <c r="C1598" s="22"/>
      <c r="D1598" s="48"/>
      <c r="E1598" s="22"/>
      <c r="F1598" s="43"/>
      <c r="G1598" s="29">
        <v>0</v>
      </c>
      <c r="H1598" s="30">
        <v>0</v>
      </c>
    </row>
    <row r="1599" spans="3:8">
      <c r="C1599" s="26"/>
      <c r="D1599" s="48"/>
      <c r="E1599" s="22"/>
      <c r="F1599" s="43"/>
      <c r="G1599" s="29">
        <v>0</v>
      </c>
      <c r="H1599" s="30">
        <v>0</v>
      </c>
    </row>
    <row r="1600" spans="3:8">
      <c r="C1600" s="26"/>
      <c r="D1600" s="48"/>
      <c r="E1600" s="22"/>
      <c r="F1600" s="57"/>
      <c r="G1600" s="29">
        <v>0</v>
      </c>
      <c r="H1600" s="30">
        <v>0</v>
      </c>
    </row>
    <row r="1601" spans="3:8">
      <c r="C1601" s="34" t="s">
        <v>15</v>
      </c>
      <c r="D1601" s="34"/>
      <c r="E1601" s="34"/>
      <c r="F1601" s="35"/>
      <c r="G1601" s="34"/>
      <c r="H1601" s="36">
        <v>0</v>
      </c>
    </row>
    <row r="1602" spans="3:8">
      <c r="C1602" s="37" t="s">
        <v>16</v>
      </c>
      <c r="D1602" s="38" t="s">
        <v>17</v>
      </c>
      <c r="E1602" s="39"/>
      <c r="F1602" s="40"/>
      <c r="G1602" s="41"/>
      <c r="H1602" s="41"/>
    </row>
    <row r="1603" spans="3:8">
      <c r="C1603" s="22"/>
      <c r="D1603" s="27"/>
      <c r="E1603" s="22"/>
      <c r="F1603" s="23"/>
      <c r="G1603" s="30">
        <v>0</v>
      </c>
      <c r="H1603" s="44">
        <v>0</v>
      </c>
    </row>
    <row r="1604" spans="3:8">
      <c r="C1604" s="22"/>
      <c r="D1604" s="58"/>
      <c r="E1604" s="22"/>
      <c r="F1604" s="23"/>
      <c r="G1604" s="30">
        <v>0</v>
      </c>
      <c r="H1604" s="44">
        <v>0</v>
      </c>
    </row>
    <row r="1605" spans="3:8">
      <c r="C1605" s="22"/>
      <c r="D1605" s="58"/>
      <c r="E1605" s="22"/>
      <c r="F1605" s="23"/>
      <c r="G1605" s="30">
        <v>0</v>
      </c>
      <c r="H1605" s="44">
        <v>0</v>
      </c>
    </row>
    <row r="1606" spans="3:8">
      <c r="C1606" s="22"/>
      <c r="D1606" s="58"/>
      <c r="E1606" s="22"/>
      <c r="F1606" s="23"/>
      <c r="G1606" s="30">
        <v>0</v>
      </c>
      <c r="H1606" s="44">
        <v>0</v>
      </c>
    </row>
    <row r="1607" spans="3:8">
      <c r="C1607" s="22"/>
      <c r="D1607" s="58"/>
      <c r="E1607" s="22"/>
      <c r="F1607" s="23"/>
      <c r="G1607" s="30">
        <v>0</v>
      </c>
      <c r="H1607" s="44">
        <v>0</v>
      </c>
    </row>
    <row r="1608" spans="3:8">
      <c r="C1608" s="22"/>
      <c r="D1608" s="58"/>
      <c r="E1608" s="22"/>
      <c r="F1608" s="23"/>
      <c r="G1608" s="30">
        <v>0</v>
      </c>
      <c r="H1608" s="44">
        <v>0</v>
      </c>
    </row>
    <row r="1609" spans="3:8">
      <c r="C1609" s="22"/>
      <c r="D1609" s="58"/>
      <c r="E1609" s="22"/>
      <c r="F1609" s="23"/>
      <c r="G1609" s="45">
        <v>0</v>
      </c>
      <c r="H1609" s="44">
        <v>0</v>
      </c>
    </row>
    <row r="1610" spans="3:8">
      <c r="C1610" s="22"/>
      <c r="D1610" s="27"/>
      <c r="E1610" s="22"/>
      <c r="F1610" s="32"/>
      <c r="G1610" s="30">
        <v>0</v>
      </c>
      <c r="H1610" s="44">
        <v>0</v>
      </c>
    </row>
    <row r="1611" spans="3:8">
      <c r="C1611" s="34" t="s">
        <v>18</v>
      </c>
      <c r="D1611" s="34"/>
      <c r="E1611" s="34"/>
      <c r="F1611" s="35"/>
      <c r="G1611" s="34"/>
      <c r="H1611" s="36">
        <v>0</v>
      </c>
    </row>
    <row r="1612" spans="3:8">
      <c r="C1612" s="37" t="s">
        <v>19</v>
      </c>
      <c r="D1612" s="38" t="s">
        <v>20</v>
      </c>
      <c r="E1612" s="39"/>
      <c r="F1612" s="46"/>
      <c r="G1612" s="47"/>
      <c r="H1612" s="47">
        <v>0</v>
      </c>
    </row>
    <row r="1613" spans="3:8">
      <c r="C1613" s="22" t="s">
        <v>55</v>
      </c>
      <c r="D1613" s="70" t="s">
        <v>240</v>
      </c>
      <c r="E1613" s="28" t="s">
        <v>106</v>
      </c>
      <c r="F1613" s="23">
        <v>1</v>
      </c>
      <c r="G1613" s="33">
        <v>35782.188807749997</v>
      </c>
      <c r="H1613" s="33">
        <v>35782.188807749997</v>
      </c>
    </row>
    <row r="1614" spans="3:8">
      <c r="C1614" s="22" t="s">
        <v>55</v>
      </c>
      <c r="D1614" s="70" t="s">
        <v>241</v>
      </c>
      <c r="E1614" s="28" t="s">
        <v>6</v>
      </c>
      <c r="F1614" s="23">
        <v>1</v>
      </c>
      <c r="G1614" s="33">
        <v>88.8888888888889</v>
      </c>
      <c r="H1614" s="33">
        <v>88.8888888888889</v>
      </c>
    </row>
    <row r="1615" spans="3:8">
      <c r="C1615" s="28"/>
      <c r="D1615" s="48"/>
      <c r="E1615" s="28"/>
      <c r="F1615" s="23"/>
      <c r="G1615" s="33">
        <v>0</v>
      </c>
      <c r="H1615" s="44">
        <v>0</v>
      </c>
    </row>
    <row r="1616" spans="3:8">
      <c r="C1616" s="28"/>
      <c r="D1616" s="48"/>
      <c r="E1616" s="28"/>
      <c r="F1616" s="23"/>
      <c r="G1616" s="33">
        <v>0</v>
      </c>
      <c r="H1616" s="44">
        <v>0</v>
      </c>
    </row>
    <row r="1617" spans="3:8">
      <c r="C1617" s="28"/>
      <c r="D1617" s="48"/>
      <c r="E1617" s="28"/>
      <c r="F1617" s="23"/>
      <c r="G1617" s="33">
        <v>0</v>
      </c>
      <c r="H1617" s="44">
        <v>0</v>
      </c>
    </row>
    <row r="1618" spans="3:8">
      <c r="C1618" s="28"/>
      <c r="D1618" s="48"/>
      <c r="E1618" s="28"/>
      <c r="F1618" s="23"/>
      <c r="G1618" s="33">
        <v>0</v>
      </c>
      <c r="H1618" s="44">
        <v>0</v>
      </c>
    </row>
    <row r="1619" spans="3:8">
      <c r="C1619" s="28"/>
      <c r="D1619" s="48"/>
      <c r="E1619" s="28"/>
      <c r="F1619" s="23"/>
      <c r="G1619" s="33">
        <v>0</v>
      </c>
      <c r="H1619" s="44">
        <v>0</v>
      </c>
    </row>
    <row r="1620" spans="3:8">
      <c r="C1620" s="28"/>
      <c r="D1620" s="48"/>
      <c r="E1620" s="28"/>
      <c r="F1620" s="23"/>
      <c r="G1620" s="33">
        <v>0</v>
      </c>
      <c r="H1620" s="44">
        <v>0</v>
      </c>
    </row>
    <row r="1621" spans="3:8">
      <c r="C1621" s="34" t="s">
        <v>21</v>
      </c>
      <c r="D1621" s="34"/>
      <c r="E1621" s="34"/>
      <c r="F1621" s="35"/>
      <c r="G1621" s="34"/>
      <c r="H1621" s="36">
        <v>35871.077696638888</v>
      </c>
    </row>
    <row r="1622" spans="3:8" ht="15.75">
      <c r="C1622" s="49" t="s">
        <v>22</v>
      </c>
      <c r="D1622" s="50"/>
      <c r="E1622" s="50"/>
      <c r="F1622" s="51"/>
      <c r="G1622" s="52"/>
      <c r="H1622" s="36">
        <v>35871.077696638888</v>
      </c>
    </row>
    <row r="1623" spans="3:8" ht="15.75">
      <c r="C1623" s="49" t="s">
        <v>23</v>
      </c>
      <c r="D1623" s="50"/>
      <c r="E1623" s="50"/>
      <c r="F1623" s="51"/>
      <c r="G1623" s="52"/>
      <c r="H1623" s="53">
        <v>8836.8912947936915</v>
      </c>
    </row>
    <row r="1624" spans="3:8" ht="15.75">
      <c r="C1624" s="49" t="s">
        <v>24</v>
      </c>
      <c r="D1624" s="50"/>
      <c r="E1624" s="50"/>
      <c r="F1624" s="51"/>
      <c r="G1624" s="52"/>
      <c r="H1624" s="36">
        <v>44707.97</v>
      </c>
    </row>
    <row r="1625" spans="3:8" ht="15.75">
      <c r="C1625" s="84"/>
      <c r="D1625" s="84"/>
      <c r="E1625" s="84"/>
      <c r="F1625" s="85"/>
      <c r="G1625" s="84"/>
      <c r="H1625" s="86"/>
    </row>
    <row r="1626" spans="3:8" ht="30">
      <c r="C1626" s="5" t="s">
        <v>1</v>
      </c>
      <c r="D1626" s="6" t="s">
        <v>242</v>
      </c>
      <c r="E1626" s="6"/>
      <c r="F1626" s="7"/>
      <c r="G1626" s="8"/>
      <c r="H1626" s="9"/>
    </row>
    <row r="1627" spans="3:8">
      <c r="C1627" s="10" t="s">
        <v>3</v>
      </c>
      <c r="D1627" s="11" t="s">
        <v>243</v>
      </c>
      <c r="E1627" s="12"/>
      <c r="F1627" s="13" t="s">
        <v>5</v>
      </c>
      <c r="G1627" s="14" t="s">
        <v>177</v>
      </c>
      <c r="H1627" s="15">
        <v>1230.17</v>
      </c>
    </row>
    <row r="1628" spans="3:8">
      <c r="C1628" s="16" t="s">
        <v>7</v>
      </c>
      <c r="D1628" s="16" t="s">
        <v>8</v>
      </c>
      <c r="E1628" s="16" t="s">
        <v>9</v>
      </c>
      <c r="F1628" s="17" t="s">
        <v>10</v>
      </c>
      <c r="G1628" s="18" t="s">
        <v>11</v>
      </c>
      <c r="H1628" s="18" t="s">
        <v>12</v>
      </c>
    </row>
    <row r="1629" spans="3:8">
      <c r="C1629" s="16"/>
      <c r="D1629" s="16"/>
      <c r="E1629" s="16"/>
      <c r="F1629" s="17"/>
      <c r="G1629" s="19"/>
      <c r="H1629" s="19"/>
    </row>
    <row r="1630" spans="3:8">
      <c r="C1630" s="20" t="s">
        <v>13</v>
      </c>
      <c r="D1630" s="21" t="s">
        <v>14</v>
      </c>
      <c r="E1630" s="22"/>
      <c r="F1630" s="23"/>
      <c r="G1630" s="24"/>
      <c r="H1630" s="25"/>
    </row>
    <row r="1631" spans="3:8">
      <c r="C1631" s="22" t="s">
        <v>107</v>
      </c>
      <c r="D1631" s="54" t="s">
        <v>178</v>
      </c>
      <c r="E1631" s="22" t="s">
        <v>29</v>
      </c>
      <c r="F1631" s="43">
        <v>3.1506787011122901</v>
      </c>
      <c r="G1631" s="29">
        <v>78.795486071171297</v>
      </c>
      <c r="H1631" s="30">
        <v>248.25925970822954</v>
      </c>
    </row>
    <row r="1632" spans="3:8">
      <c r="C1632" s="22" t="s">
        <v>27</v>
      </c>
      <c r="D1632" s="48" t="s">
        <v>179</v>
      </c>
      <c r="E1632" s="22" t="s">
        <v>29</v>
      </c>
      <c r="F1632" s="43">
        <v>0.70888580106578203</v>
      </c>
      <c r="G1632" s="29">
        <v>45.411750977784656</v>
      </c>
      <c r="H1632" s="30">
        <v>32.191745469686687</v>
      </c>
    </row>
    <row r="1633" spans="3:8">
      <c r="C1633" s="22" t="s">
        <v>107</v>
      </c>
      <c r="D1633" s="48" t="s">
        <v>180</v>
      </c>
      <c r="E1633" s="22" t="s">
        <v>29</v>
      </c>
      <c r="F1633" s="43">
        <v>0.77946202678576604</v>
      </c>
      <c r="G1633" s="29">
        <v>72.442078740927272</v>
      </c>
      <c r="H1633" s="30">
        <v>56.465849519977226</v>
      </c>
    </row>
    <row r="1634" spans="3:8">
      <c r="C1634" s="22" t="s">
        <v>27</v>
      </c>
      <c r="D1634" s="48" t="s">
        <v>138</v>
      </c>
      <c r="E1634" s="22" t="s">
        <v>29</v>
      </c>
      <c r="F1634" s="43">
        <v>0.60896746129230495</v>
      </c>
      <c r="G1634" s="29">
        <v>74.717676591289091</v>
      </c>
      <c r="H1634" s="30">
        <v>45.500633827456802</v>
      </c>
    </row>
    <row r="1635" spans="3:8">
      <c r="C1635" s="22" t="s">
        <v>107</v>
      </c>
      <c r="D1635" s="48" t="s">
        <v>181</v>
      </c>
      <c r="E1635" s="81" t="s">
        <v>29</v>
      </c>
      <c r="F1635" s="43">
        <v>4.2573537237309029</v>
      </c>
      <c r="G1635" s="29">
        <v>106.73171041640566</v>
      </c>
      <c r="H1635" s="30">
        <v>454.39464478145305</v>
      </c>
    </row>
    <row r="1636" spans="3:8">
      <c r="C1636" s="22"/>
      <c r="D1636" s="48"/>
      <c r="E1636" s="22"/>
      <c r="F1636" s="43"/>
      <c r="G1636" s="29">
        <v>0</v>
      </c>
      <c r="H1636" s="30">
        <v>0</v>
      </c>
    </row>
    <row r="1637" spans="3:8">
      <c r="C1637" s="26"/>
      <c r="D1637" s="48"/>
      <c r="E1637" s="22"/>
      <c r="F1637" s="43"/>
      <c r="G1637" s="29">
        <v>0</v>
      </c>
      <c r="H1637" s="30">
        <v>0</v>
      </c>
    </row>
    <row r="1638" spans="3:8">
      <c r="C1638" s="26"/>
      <c r="D1638" s="48"/>
      <c r="E1638" s="22"/>
      <c r="F1638" s="57"/>
      <c r="G1638" s="29">
        <v>0</v>
      </c>
      <c r="H1638" s="30">
        <v>0</v>
      </c>
    </row>
    <row r="1639" spans="3:8">
      <c r="C1639" s="34" t="s">
        <v>15</v>
      </c>
      <c r="D1639" s="34"/>
      <c r="E1639" s="34"/>
      <c r="F1639" s="35"/>
      <c r="G1639" s="34"/>
      <c r="H1639" s="36">
        <v>836.81213330680328</v>
      </c>
    </row>
    <row r="1640" spans="3:8">
      <c r="C1640" s="37" t="s">
        <v>16</v>
      </c>
      <c r="D1640" s="38" t="s">
        <v>17</v>
      </c>
      <c r="E1640" s="39"/>
      <c r="F1640" s="40"/>
      <c r="G1640" s="41"/>
      <c r="H1640" s="41"/>
    </row>
    <row r="1641" spans="3:8">
      <c r="C1641" s="22" t="s">
        <v>31</v>
      </c>
      <c r="D1641" s="77" t="s">
        <v>114</v>
      </c>
      <c r="E1641" s="22" t="s">
        <v>6</v>
      </c>
      <c r="F1641" s="78">
        <v>0.48750000000000004</v>
      </c>
      <c r="G1641" s="45">
        <v>58.576849331476232</v>
      </c>
      <c r="H1641" s="44">
        <v>28.556214049094667</v>
      </c>
    </row>
    <row r="1642" spans="3:8">
      <c r="C1642" s="22"/>
      <c r="D1642" s="58"/>
      <c r="E1642" s="22"/>
      <c r="F1642" s="23"/>
      <c r="G1642" s="30">
        <v>0</v>
      </c>
      <c r="H1642" s="44">
        <v>0</v>
      </c>
    </row>
    <row r="1643" spans="3:8">
      <c r="C1643" s="22"/>
      <c r="D1643" s="58"/>
      <c r="E1643" s="22"/>
      <c r="F1643" s="23"/>
      <c r="G1643" s="30">
        <v>0</v>
      </c>
      <c r="H1643" s="44">
        <v>0</v>
      </c>
    </row>
    <row r="1644" spans="3:8">
      <c r="C1644" s="22"/>
      <c r="D1644" s="58"/>
      <c r="E1644" s="22"/>
      <c r="F1644" s="23"/>
      <c r="G1644" s="30">
        <v>0</v>
      </c>
      <c r="H1644" s="44">
        <v>0</v>
      </c>
    </row>
    <row r="1645" spans="3:8">
      <c r="C1645" s="22"/>
      <c r="D1645" s="58"/>
      <c r="E1645" s="22"/>
      <c r="F1645" s="23"/>
      <c r="G1645" s="30">
        <v>0</v>
      </c>
      <c r="H1645" s="44">
        <v>0</v>
      </c>
    </row>
    <row r="1646" spans="3:8">
      <c r="C1646" s="22"/>
      <c r="D1646" s="58"/>
      <c r="E1646" s="22"/>
      <c r="F1646" s="23"/>
      <c r="G1646" s="30">
        <v>0</v>
      </c>
      <c r="H1646" s="44">
        <v>0</v>
      </c>
    </row>
    <row r="1647" spans="3:8">
      <c r="C1647" s="22"/>
      <c r="D1647" s="58"/>
      <c r="E1647" s="22"/>
      <c r="F1647" s="23"/>
      <c r="G1647" s="45">
        <v>0</v>
      </c>
      <c r="H1647" s="44">
        <v>0</v>
      </c>
    </row>
    <row r="1648" spans="3:8">
      <c r="C1648" s="22"/>
      <c r="D1648" s="27"/>
      <c r="E1648" s="22"/>
      <c r="F1648" s="32"/>
      <c r="G1648" s="30">
        <v>0</v>
      </c>
      <c r="H1648" s="44">
        <v>0</v>
      </c>
    </row>
    <row r="1649" spans="3:8">
      <c r="C1649" s="34" t="s">
        <v>18</v>
      </c>
      <c r="D1649" s="34"/>
      <c r="E1649" s="34"/>
      <c r="F1649" s="35"/>
      <c r="G1649" s="34"/>
      <c r="H1649" s="36">
        <v>28.556214049094667</v>
      </c>
    </row>
    <row r="1650" spans="3:8">
      <c r="C1650" s="37" t="s">
        <v>19</v>
      </c>
      <c r="D1650" s="38" t="s">
        <v>20</v>
      </c>
      <c r="E1650" s="39"/>
      <c r="F1650" s="46"/>
      <c r="G1650" s="47"/>
      <c r="H1650" s="47">
        <v>0</v>
      </c>
    </row>
    <row r="1651" spans="3:8">
      <c r="C1651" s="22" t="s">
        <v>55</v>
      </c>
      <c r="D1651" s="48" t="s">
        <v>182</v>
      </c>
      <c r="E1651" s="28" t="s">
        <v>6</v>
      </c>
      <c r="F1651" s="23">
        <v>1</v>
      </c>
      <c r="G1651" s="33">
        <v>57.421783657069497</v>
      </c>
      <c r="H1651" s="33">
        <v>57.421783657069497</v>
      </c>
    </row>
    <row r="1652" spans="3:8">
      <c r="C1652" s="22" t="s">
        <v>55</v>
      </c>
      <c r="D1652" s="70" t="s">
        <v>183</v>
      </c>
      <c r="E1652" s="28" t="s">
        <v>33</v>
      </c>
      <c r="F1652" s="23">
        <v>1</v>
      </c>
      <c r="G1652" s="33">
        <v>64.228437968658596</v>
      </c>
      <c r="H1652" s="33">
        <v>64.228437968658596</v>
      </c>
    </row>
    <row r="1653" spans="3:8">
      <c r="C1653" s="28"/>
      <c r="D1653" s="48"/>
      <c r="E1653" s="28"/>
      <c r="F1653" s="23"/>
      <c r="G1653" s="33">
        <v>0</v>
      </c>
      <c r="H1653" s="44">
        <v>0</v>
      </c>
    </row>
    <row r="1654" spans="3:8">
      <c r="C1654" s="28"/>
      <c r="D1654" s="48"/>
      <c r="E1654" s="28"/>
      <c r="F1654" s="23"/>
      <c r="G1654" s="33">
        <v>0</v>
      </c>
      <c r="H1654" s="44">
        <v>0</v>
      </c>
    </row>
    <row r="1655" spans="3:8">
      <c r="C1655" s="28"/>
      <c r="D1655" s="48"/>
      <c r="E1655" s="28"/>
      <c r="F1655" s="23"/>
      <c r="G1655" s="33">
        <v>0</v>
      </c>
      <c r="H1655" s="44">
        <v>0</v>
      </c>
    </row>
    <row r="1656" spans="3:8">
      <c r="C1656" s="28"/>
      <c r="D1656" s="48"/>
      <c r="E1656" s="28"/>
      <c r="F1656" s="23"/>
      <c r="G1656" s="33">
        <v>0</v>
      </c>
      <c r="H1656" s="44">
        <v>0</v>
      </c>
    </row>
    <row r="1657" spans="3:8">
      <c r="C1657" s="28"/>
      <c r="D1657" s="48"/>
      <c r="E1657" s="28"/>
      <c r="F1657" s="23"/>
      <c r="G1657" s="33">
        <v>0</v>
      </c>
      <c r="H1657" s="44">
        <v>0</v>
      </c>
    </row>
    <row r="1658" spans="3:8">
      <c r="C1658" s="28"/>
      <c r="D1658" s="48"/>
      <c r="E1658" s="28"/>
      <c r="F1658" s="23"/>
      <c r="G1658" s="33">
        <v>0</v>
      </c>
      <c r="H1658" s="44">
        <v>0</v>
      </c>
    </row>
    <row r="1659" spans="3:8">
      <c r="C1659" s="34" t="s">
        <v>21</v>
      </c>
      <c r="D1659" s="34"/>
      <c r="E1659" s="34"/>
      <c r="F1659" s="35"/>
      <c r="G1659" s="34"/>
      <c r="H1659" s="36">
        <v>121.65022162572809</v>
      </c>
    </row>
    <row r="1660" spans="3:8" ht="15.75">
      <c r="C1660" s="49" t="s">
        <v>22</v>
      </c>
      <c r="D1660" s="50"/>
      <c r="E1660" s="50"/>
      <c r="F1660" s="51"/>
      <c r="G1660" s="52"/>
      <c r="H1660" s="36">
        <v>987.018568981626</v>
      </c>
    </row>
    <row r="1661" spans="3:8" ht="15.75">
      <c r="C1661" s="49" t="s">
        <v>23</v>
      </c>
      <c r="D1661" s="50"/>
      <c r="E1661" s="50"/>
      <c r="F1661" s="51"/>
      <c r="G1661" s="52"/>
      <c r="H1661" s="53">
        <v>243.15343614141608</v>
      </c>
    </row>
    <row r="1662" spans="3:8" ht="15.75">
      <c r="C1662" s="49" t="s">
        <v>24</v>
      </c>
      <c r="D1662" s="50"/>
      <c r="E1662" s="50"/>
      <c r="F1662" s="51"/>
      <c r="G1662" s="52"/>
      <c r="H1662" s="36">
        <v>1230.17</v>
      </c>
    </row>
    <row r="1663" spans="3:8" ht="15.75">
      <c r="C1663" s="84"/>
      <c r="D1663" s="84"/>
      <c r="E1663" s="84"/>
      <c r="F1663" s="85"/>
      <c r="G1663" s="84"/>
      <c r="H1663" s="86"/>
    </row>
    <row r="1664" spans="3:8" ht="30">
      <c r="C1664" s="5" t="s">
        <v>1</v>
      </c>
      <c r="D1664" s="6" t="s">
        <v>244</v>
      </c>
      <c r="E1664" s="6"/>
      <c r="F1664" s="7"/>
      <c r="G1664" s="8"/>
      <c r="H1664" s="9"/>
    </row>
    <row r="1665" spans="3:8">
      <c r="C1665" s="10" t="s">
        <v>3</v>
      </c>
      <c r="D1665" s="11" t="s">
        <v>245</v>
      </c>
      <c r="E1665" s="12"/>
      <c r="F1665" s="13" t="s">
        <v>5</v>
      </c>
      <c r="G1665" s="14" t="s">
        <v>177</v>
      </c>
      <c r="H1665" s="15">
        <v>1338.03</v>
      </c>
    </row>
    <row r="1666" spans="3:8">
      <c r="C1666" s="16" t="s">
        <v>7</v>
      </c>
      <c r="D1666" s="16" t="s">
        <v>8</v>
      </c>
      <c r="E1666" s="16" t="s">
        <v>9</v>
      </c>
      <c r="F1666" s="17" t="s">
        <v>10</v>
      </c>
      <c r="G1666" s="18" t="s">
        <v>11</v>
      </c>
      <c r="H1666" s="18" t="s">
        <v>12</v>
      </c>
    </row>
    <row r="1667" spans="3:8">
      <c r="C1667" s="16"/>
      <c r="D1667" s="16"/>
      <c r="E1667" s="16"/>
      <c r="F1667" s="17"/>
      <c r="G1667" s="19"/>
      <c r="H1667" s="19"/>
    </row>
    <row r="1668" spans="3:8">
      <c r="C1668" s="20" t="s">
        <v>13</v>
      </c>
      <c r="D1668" s="21" t="s">
        <v>14</v>
      </c>
      <c r="E1668" s="22"/>
      <c r="F1668" s="23"/>
      <c r="G1668" s="24"/>
      <c r="H1668" s="25"/>
    </row>
    <row r="1669" spans="3:8">
      <c r="C1669" s="22" t="s">
        <v>107</v>
      </c>
      <c r="D1669" s="54" t="s">
        <v>178</v>
      </c>
      <c r="E1669" s="22" t="s">
        <v>29</v>
      </c>
      <c r="F1669" s="43">
        <v>3.4657465712235198</v>
      </c>
      <c r="G1669" s="33">
        <v>78.795486071171297</v>
      </c>
      <c r="H1669" s="30">
        <v>273.08518567905253</v>
      </c>
    </row>
    <row r="1670" spans="3:8">
      <c r="C1670" s="22" t="s">
        <v>27</v>
      </c>
      <c r="D1670" s="48" t="s">
        <v>179</v>
      </c>
      <c r="E1670" s="22" t="s">
        <v>29</v>
      </c>
      <c r="F1670" s="43">
        <v>0.77977438117236098</v>
      </c>
      <c r="G1670" s="29">
        <v>45.411750977784656</v>
      </c>
      <c r="H1670" s="30">
        <v>35.410920016655389</v>
      </c>
    </row>
    <row r="1671" spans="3:8">
      <c r="C1671" s="22" t="s">
        <v>107</v>
      </c>
      <c r="D1671" s="48" t="s">
        <v>180</v>
      </c>
      <c r="E1671" s="81" t="s">
        <v>29</v>
      </c>
      <c r="F1671" s="43">
        <v>0.85740822946434303</v>
      </c>
      <c r="G1671" s="29">
        <v>72.442078740927272</v>
      </c>
      <c r="H1671" s="30">
        <v>62.112434471974979</v>
      </c>
    </row>
    <row r="1672" spans="3:8">
      <c r="C1672" s="22" t="s">
        <v>27</v>
      </c>
      <c r="D1672" s="48" t="s">
        <v>138</v>
      </c>
      <c r="E1672" s="22" t="s">
        <v>29</v>
      </c>
      <c r="F1672" s="43">
        <v>0.66986420742153596</v>
      </c>
      <c r="G1672" s="29">
        <v>74.717676591289091</v>
      </c>
      <c r="H1672" s="30">
        <v>50.050697210202514</v>
      </c>
    </row>
    <row r="1673" spans="3:8">
      <c r="C1673" s="22" t="s">
        <v>107</v>
      </c>
      <c r="D1673" s="48" t="s">
        <v>181</v>
      </c>
      <c r="E1673" s="22" t="s">
        <v>29</v>
      </c>
      <c r="F1673" s="43">
        <v>4.6830890961040046</v>
      </c>
      <c r="G1673" s="29">
        <v>106.73171041640566</v>
      </c>
      <c r="H1673" s="30">
        <v>499.83410925959959</v>
      </c>
    </row>
    <row r="1674" spans="3:8">
      <c r="C1674" s="22"/>
      <c r="D1674" s="48"/>
      <c r="E1674" s="22"/>
      <c r="F1674" s="43"/>
      <c r="G1674" s="29">
        <v>0</v>
      </c>
      <c r="H1674" s="30">
        <v>0</v>
      </c>
    </row>
    <row r="1675" spans="3:8">
      <c r="C1675" s="26"/>
      <c r="D1675" s="48"/>
      <c r="E1675" s="22"/>
      <c r="F1675" s="43"/>
      <c r="G1675" s="29">
        <v>0</v>
      </c>
      <c r="H1675" s="30">
        <v>0</v>
      </c>
    </row>
    <row r="1676" spans="3:8">
      <c r="C1676" s="26"/>
      <c r="D1676" s="48"/>
      <c r="E1676" s="22"/>
      <c r="F1676" s="57"/>
      <c r="G1676" s="29">
        <v>0</v>
      </c>
      <c r="H1676" s="30">
        <v>0</v>
      </c>
    </row>
    <row r="1677" spans="3:8">
      <c r="C1677" s="34" t="s">
        <v>15</v>
      </c>
      <c r="D1677" s="34"/>
      <c r="E1677" s="34"/>
      <c r="F1677" s="35"/>
      <c r="G1677" s="34"/>
      <c r="H1677" s="36">
        <v>920.49334663748505</v>
      </c>
    </row>
    <row r="1678" spans="3:8">
      <c r="C1678" s="37" t="s">
        <v>16</v>
      </c>
      <c r="D1678" s="38" t="s">
        <v>17</v>
      </c>
      <c r="E1678" s="39"/>
      <c r="F1678" s="40"/>
      <c r="G1678" s="41"/>
      <c r="H1678" s="41"/>
    </row>
    <row r="1679" spans="3:8">
      <c r="C1679" s="22" t="s">
        <v>31</v>
      </c>
      <c r="D1679" s="77" t="s">
        <v>114</v>
      </c>
      <c r="E1679" s="22" t="s">
        <v>6</v>
      </c>
      <c r="F1679" s="78">
        <v>0.48750000000000004</v>
      </c>
      <c r="G1679" s="45">
        <v>64.434534264623963</v>
      </c>
      <c r="H1679" s="44">
        <v>31.411835454004184</v>
      </c>
    </row>
    <row r="1680" spans="3:8">
      <c r="C1680" s="22"/>
      <c r="D1680" s="58"/>
      <c r="E1680" s="22"/>
      <c r="F1680" s="23"/>
      <c r="G1680" s="30">
        <v>0</v>
      </c>
      <c r="H1680" s="44">
        <v>0</v>
      </c>
    </row>
    <row r="1681" spans="3:8">
      <c r="C1681" s="22"/>
      <c r="D1681" s="58"/>
      <c r="E1681" s="22"/>
      <c r="F1681" s="23"/>
      <c r="G1681" s="30">
        <v>0</v>
      </c>
      <c r="H1681" s="44">
        <v>0</v>
      </c>
    </row>
    <row r="1682" spans="3:8">
      <c r="C1682" s="22"/>
      <c r="D1682" s="58"/>
      <c r="E1682" s="22"/>
      <c r="F1682" s="23"/>
      <c r="G1682" s="30">
        <v>0</v>
      </c>
      <c r="H1682" s="44">
        <v>0</v>
      </c>
    </row>
    <row r="1683" spans="3:8">
      <c r="C1683" s="22"/>
      <c r="D1683" s="58"/>
      <c r="E1683" s="22"/>
      <c r="F1683" s="23"/>
      <c r="G1683" s="30">
        <v>0</v>
      </c>
      <c r="H1683" s="44">
        <v>0</v>
      </c>
    </row>
    <row r="1684" spans="3:8">
      <c r="C1684" s="22"/>
      <c r="D1684" s="58"/>
      <c r="E1684" s="22"/>
      <c r="F1684" s="23"/>
      <c r="G1684" s="30">
        <v>0</v>
      </c>
      <c r="H1684" s="44">
        <v>0</v>
      </c>
    </row>
    <row r="1685" spans="3:8">
      <c r="C1685" s="22"/>
      <c r="D1685" s="58"/>
      <c r="E1685" s="22"/>
      <c r="F1685" s="23"/>
      <c r="G1685" s="45">
        <v>0</v>
      </c>
      <c r="H1685" s="44">
        <v>0</v>
      </c>
    </row>
    <row r="1686" spans="3:8">
      <c r="C1686" s="22"/>
      <c r="D1686" s="27"/>
      <c r="E1686" s="22"/>
      <c r="F1686" s="32"/>
      <c r="G1686" s="30">
        <v>0</v>
      </c>
      <c r="H1686" s="44">
        <v>0</v>
      </c>
    </row>
    <row r="1687" spans="3:8">
      <c r="C1687" s="34" t="s">
        <v>18</v>
      </c>
      <c r="D1687" s="34"/>
      <c r="E1687" s="34"/>
      <c r="F1687" s="35"/>
      <c r="G1687" s="34"/>
      <c r="H1687" s="36">
        <v>31.411835454004184</v>
      </c>
    </row>
    <row r="1688" spans="3:8">
      <c r="C1688" s="37" t="s">
        <v>19</v>
      </c>
      <c r="D1688" s="38" t="s">
        <v>20</v>
      </c>
      <c r="E1688" s="39"/>
      <c r="F1688" s="46"/>
      <c r="G1688" s="47"/>
      <c r="H1688" s="47">
        <v>0</v>
      </c>
    </row>
    <row r="1689" spans="3:8">
      <c r="C1689" s="22" t="s">
        <v>55</v>
      </c>
      <c r="D1689" s="48" t="s">
        <v>182</v>
      </c>
      <c r="E1689" s="28" t="s">
        <v>6</v>
      </c>
      <c r="F1689" s="23">
        <v>1</v>
      </c>
      <c r="G1689" s="33">
        <v>57.421783657069497</v>
      </c>
      <c r="H1689" s="33">
        <v>57.421783657069497</v>
      </c>
    </row>
    <row r="1690" spans="3:8">
      <c r="C1690" s="22" t="s">
        <v>55</v>
      </c>
      <c r="D1690" s="70" t="s">
        <v>183</v>
      </c>
      <c r="E1690" s="28" t="s">
        <v>33</v>
      </c>
      <c r="F1690" s="23">
        <v>1</v>
      </c>
      <c r="G1690" s="33">
        <v>64.228437968658596</v>
      </c>
      <c r="H1690" s="33">
        <v>64.228437968658596</v>
      </c>
    </row>
    <row r="1691" spans="3:8">
      <c r="C1691" s="28"/>
      <c r="D1691" s="48"/>
      <c r="E1691" s="28"/>
      <c r="F1691" s="23"/>
      <c r="G1691" s="33">
        <v>0</v>
      </c>
      <c r="H1691" s="44">
        <v>0</v>
      </c>
    </row>
    <row r="1692" spans="3:8">
      <c r="C1692" s="28"/>
      <c r="D1692" s="48"/>
      <c r="E1692" s="28"/>
      <c r="F1692" s="23"/>
      <c r="G1692" s="33">
        <v>0</v>
      </c>
      <c r="H1692" s="44">
        <v>0</v>
      </c>
    </row>
    <row r="1693" spans="3:8">
      <c r="C1693" s="28"/>
      <c r="D1693" s="48"/>
      <c r="E1693" s="28"/>
      <c r="F1693" s="23"/>
      <c r="G1693" s="33">
        <v>0</v>
      </c>
      <c r="H1693" s="44">
        <v>0</v>
      </c>
    </row>
    <row r="1694" spans="3:8">
      <c r="C1694" s="28"/>
      <c r="D1694" s="48"/>
      <c r="E1694" s="28"/>
      <c r="F1694" s="23"/>
      <c r="G1694" s="33">
        <v>0</v>
      </c>
      <c r="H1694" s="44">
        <v>0</v>
      </c>
    </row>
    <row r="1695" spans="3:8">
      <c r="C1695" s="28"/>
      <c r="D1695" s="48"/>
      <c r="E1695" s="28"/>
      <c r="F1695" s="23"/>
      <c r="G1695" s="33">
        <v>0</v>
      </c>
      <c r="H1695" s="44">
        <v>0</v>
      </c>
    </row>
    <row r="1696" spans="3:8">
      <c r="C1696" s="28"/>
      <c r="D1696" s="48"/>
      <c r="E1696" s="28"/>
      <c r="F1696" s="23"/>
      <c r="G1696" s="33">
        <v>0</v>
      </c>
      <c r="H1696" s="44">
        <v>0</v>
      </c>
    </row>
    <row r="1697" spans="3:8">
      <c r="C1697" s="34" t="s">
        <v>21</v>
      </c>
      <c r="D1697" s="34"/>
      <c r="E1697" s="34"/>
      <c r="F1697" s="35"/>
      <c r="G1697" s="34"/>
      <c r="H1697" s="36">
        <v>121.65022162572809</v>
      </c>
    </row>
    <row r="1698" spans="3:8" ht="15.75">
      <c r="C1698" s="49" t="s">
        <v>22</v>
      </c>
      <c r="D1698" s="50"/>
      <c r="E1698" s="50"/>
      <c r="F1698" s="51"/>
      <c r="G1698" s="52"/>
      <c r="H1698" s="36">
        <v>1073.5554037172174</v>
      </c>
    </row>
    <row r="1699" spans="3:8" ht="15.75">
      <c r="C1699" s="49" t="s">
        <v>23</v>
      </c>
      <c r="D1699" s="50"/>
      <c r="E1699" s="50"/>
      <c r="F1699" s="51"/>
      <c r="G1699" s="52"/>
      <c r="H1699" s="53">
        <v>264.47190914691492</v>
      </c>
    </row>
    <row r="1700" spans="3:8" ht="15.75">
      <c r="C1700" s="49" t="s">
        <v>24</v>
      </c>
      <c r="D1700" s="50"/>
      <c r="E1700" s="50"/>
      <c r="F1700" s="51"/>
      <c r="G1700" s="52"/>
      <c r="H1700" s="36">
        <v>1338.03</v>
      </c>
    </row>
    <row r="1701" spans="3:8" ht="15.75">
      <c r="C1701" s="84"/>
      <c r="D1701" s="84"/>
      <c r="E1701" s="84"/>
      <c r="F1701" s="85"/>
      <c r="G1701" s="84"/>
      <c r="H1701" s="86"/>
    </row>
    <row r="1702" spans="3:8" ht="30">
      <c r="C1702" s="5" t="s">
        <v>1</v>
      </c>
      <c r="D1702" s="6" t="s">
        <v>246</v>
      </c>
      <c r="E1702" s="6"/>
      <c r="F1702" s="7"/>
      <c r="G1702" s="8"/>
      <c r="H1702" s="9"/>
    </row>
    <row r="1703" spans="3:8">
      <c r="C1703" s="10" t="s">
        <v>3</v>
      </c>
      <c r="D1703" s="11" t="s">
        <v>247</v>
      </c>
      <c r="E1703" s="12"/>
      <c r="F1703" s="13" t="s">
        <v>5</v>
      </c>
      <c r="G1703" s="14" t="s">
        <v>177</v>
      </c>
      <c r="H1703" s="15">
        <v>1338.03</v>
      </c>
    </row>
    <row r="1704" spans="3:8">
      <c r="C1704" s="16" t="s">
        <v>7</v>
      </c>
      <c r="D1704" s="16" t="s">
        <v>8</v>
      </c>
      <c r="E1704" s="16" t="s">
        <v>9</v>
      </c>
      <c r="F1704" s="17" t="s">
        <v>10</v>
      </c>
      <c r="G1704" s="18" t="s">
        <v>11</v>
      </c>
      <c r="H1704" s="18" t="s">
        <v>12</v>
      </c>
    </row>
    <row r="1705" spans="3:8">
      <c r="C1705" s="16"/>
      <c r="D1705" s="16"/>
      <c r="E1705" s="16"/>
      <c r="F1705" s="17"/>
      <c r="G1705" s="19"/>
      <c r="H1705" s="19"/>
    </row>
    <row r="1706" spans="3:8">
      <c r="C1706" s="20" t="s">
        <v>13</v>
      </c>
      <c r="D1706" s="21" t="s">
        <v>14</v>
      </c>
      <c r="E1706" s="22"/>
      <c r="F1706" s="23"/>
      <c r="G1706" s="24"/>
      <c r="H1706" s="25"/>
    </row>
    <row r="1707" spans="3:8">
      <c r="C1707" s="22" t="s">
        <v>107</v>
      </c>
      <c r="D1707" s="54" t="s">
        <v>178</v>
      </c>
      <c r="E1707" s="22" t="s">
        <v>29</v>
      </c>
      <c r="F1707" s="43">
        <v>3.4657465712235198</v>
      </c>
      <c r="G1707" s="33">
        <v>78.795486071171297</v>
      </c>
      <c r="H1707" s="30">
        <v>273.08518567905253</v>
      </c>
    </row>
    <row r="1708" spans="3:8">
      <c r="C1708" s="22" t="s">
        <v>27</v>
      </c>
      <c r="D1708" s="48" t="s">
        <v>179</v>
      </c>
      <c r="E1708" s="22" t="s">
        <v>29</v>
      </c>
      <c r="F1708" s="43">
        <v>0.77977438117236098</v>
      </c>
      <c r="G1708" s="29">
        <v>45.411750977784656</v>
      </c>
      <c r="H1708" s="30">
        <v>35.410920016655389</v>
      </c>
    </row>
    <row r="1709" spans="3:8">
      <c r="C1709" s="22" t="s">
        <v>107</v>
      </c>
      <c r="D1709" s="48" t="s">
        <v>180</v>
      </c>
      <c r="E1709" s="81" t="s">
        <v>29</v>
      </c>
      <c r="F1709" s="43">
        <v>0.85740822946434303</v>
      </c>
      <c r="G1709" s="29">
        <v>72.442078740927272</v>
      </c>
      <c r="H1709" s="30">
        <v>62.112434471974979</v>
      </c>
    </row>
    <row r="1710" spans="3:8">
      <c r="C1710" s="22" t="s">
        <v>27</v>
      </c>
      <c r="D1710" s="48" t="s">
        <v>138</v>
      </c>
      <c r="E1710" s="22" t="s">
        <v>29</v>
      </c>
      <c r="F1710" s="43">
        <v>0.66986420742153596</v>
      </c>
      <c r="G1710" s="29">
        <v>74.717676591289091</v>
      </c>
      <c r="H1710" s="30">
        <v>50.050697210202514</v>
      </c>
    </row>
    <row r="1711" spans="3:8">
      <c r="C1711" s="22" t="s">
        <v>107</v>
      </c>
      <c r="D1711" s="48" t="s">
        <v>181</v>
      </c>
      <c r="E1711" s="22" t="s">
        <v>29</v>
      </c>
      <c r="F1711" s="43">
        <v>4.6830890961040046</v>
      </c>
      <c r="G1711" s="29">
        <v>106.73171041640566</v>
      </c>
      <c r="H1711" s="30">
        <v>499.83410925959959</v>
      </c>
    </row>
    <row r="1712" spans="3:8">
      <c r="C1712" s="22"/>
      <c r="D1712" s="48"/>
      <c r="E1712" s="22"/>
      <c r="F1712" s="43"/>
      <c r="G1712" s="29">
        <v>0</v>
      </c>
      <c r="H1712" s="30">
        <v>0</v>
      </c>
    </row>
    <row r="1713" spans="3:8">
      <c r="C1713" s="26"/>
      <c r="D1713" s="48"/>
      <c r="E1713" s="22"/>
      <c r="F1713" s="43"/>
      <c r="G1713" s="29">
        <v>0</v>
      </c>
      <c r="H1713" s="30">
        <v>0</v>
      </c>
    </row>
    <row r="1714" spans="3:8">
      <c r="C1714" s="26"/>
      <c r="D1714" s="48"/>
      <c r="E1714" s="22"/>
      <c r="F1714" s="57"/>
      <c r="G1714" s="29">
        <v>0</v>
      </c>
      <c r="H1714" s="30">
        <v>0</v>
      </c>
    </row>
    <row r="1715" spans="3:8">
      <c r="C1715" s="34" t="s">
        <v>15</v>
      </c>
      <c r="D1715" s="34"/>
      <c r="E1715" s="34"/>
      <c r="F1715" s="35"/>
      <c r="G1715" s="34"/>
      <c r="H1715" s="36">
        <v>920.49334663748505</v>
      </c>
    </row>
    <row r="1716" spans="3:8">
      <c r="C1716" s="37" t="s">
        <v>16</v>
      </c>
      <c r="D1716" s="38" t="s">
        <v>17</v>
      </c>
      <c r="E1716" s="39"/>
      <c r="F1716" s="40"/>
      <c r="G1716" s="41"/>
      <c r="H1716" s="41"/>
    </row>
    <row r="1717" spans="3:8">
      <c r="C1717" s="22" t="s">
        <v>31</v>
      </c>
      <c r="D1717" s="77" t="s">
        <v>114</v>
      </c>
      <c r="E1717" s="22" t="s">
        <v>6</v>
      </c>
      <c r="F1717" s="78">
        <v>0.48750000000000004</v>
      </c>
      <c r="G1717" s="45">
        <v>64.434534264623963</v>
      </c>
      <c r="H1717" s="44">
        <v>31.411835454004184</v>
      </c>
    </row>
    <row r="1718" spans="3:8">
      <c r="C1718" s="22"/>
      <c r="D1718" s="58"/>
      <c r="E1718" s="22"/>
      <c r="F1718" s="23"/>
      <c r="G1718" s="30">
        <v>0</v>
      </c>
      <c r="H1718" s="44">
        <v>0</v>
      </c>
    </row>
    <row r="1719" spans="3:8">
      <c r="C1719" s="22"/>
      <c r="D1719" s="58"/>
      <c r="E1719" s="22"/>
      <c r="F1719" s="23"/>
      <c r="G1719" s="30">
        <v>0</v>
      </c>
      <c r="H1719" s="44">
        <v>0</v>
      </c>
    </row>
    <row r="1720" spans="3:8">
      <c r="C1720" s="22"/>
      <c r="D1720" s="58"/>
      <c r="E1720" s="22"/>
      <c r="F1720" s="23"/>
      <c r="G1720" s="30">
        <v>0</v>
      </c>
      <c r="H1720" s="44">
        <v>0</v>
      </c>
    </row>
    <row r="1721" spans="3:8">
      <c r="C1721" s="22"/>
      <c r="D1721" s="58"/>
      <c r="E1721" s="22"/>
      <c r="F1721" s="23"/>
      <c r="G1721" s="30">
        <v>0</v>
      </c>
      <c r="H1721" s="44">
        <v>0</v>
      </c>
    </row>
    <row r="1722" spans="3:8">
      <c r="C1722" s="22"/>
      <c r="D1722" s="58"/>
      <c r="E1722" s="22"/>
      <c r="F1722" s="23"/>
      <c r="G1722" s="30">
        <v>0</v>
      </c>
      <c r="H1722" s="44">
        <v>0</v>
      </c>
    </row>
    <row r="1723" spans="3:8">
      <c r="C1723" s="22"/>
      <c r="D1723" s="58"/>
      <c r="E1723" s="22"/>
      <c r="F1723" s="23"/>
      <c r="G1723" s="45">
        <v>0</v>
      </c>
      <c r="H1723" s="44">
        <v>0</v>
      </c>
    </row>
    <row r="1724" spans="3:8">
      <c r="C1724" s="22"/>
      <c r="D1724" s="27"/>
      <c r="E1724" s="22"/>
      <c r="F1724" s="32"/>
      <c r="G1724" s="30">
        <v>0</v>
      </c>
      <c r="H1724" s="44">
        <v>0</v>
      </c>
    </row>
    <row r="1725" spans="3:8">
      <c r="C1725" s="34" t="s">
        <v>18</v>
      </c>
      <c r="D1725" s="34"/>
      <c r="E1725" s="34"/>
      <c r="F1725" s="35"/>
      <c r="G1725" s="34"/>
      <c r="H1725" s="36">
        <v>31.411835454004184</v>
      </c>
    </row>
    <row r="1726" spans="3:8">
      <c r="C1726" s="37" t="s">
        <v>19</v>
      </c>
      <c r="D1726" s="38" t="s">
        <v>20</v>
      </c>
      <c r="E1726" s="39"/>
      <c r="F1726" s="46"/>
      <c r="G1726" s="47"/>
      <c r="H1726" s="47">
        <v>0</v>
      </c>
    </row>
    <row r="1727" spans="3:8">
      <c r="C1727" s="22" t="s">
        <v>55</v>
      </c>
      <c r="D1727" s="48" t="s">
        <v>182</v>
      </c>
      <c r="E1727" s="28" t="s">
        <v>6</v>
      </c>
      <c r="F1727" s="23">
        <v>1</v>
      </c>
      <c r="G1727" s="33">
        <v>57.421783657069497</v>
      </c>
      <c r="H1727" s="33">
        <v>57.421783657069497</v>
      </c>
    </row>
    <row r="1728" spans="3:8">
      <c r="C1728" s="22" t="s">
        <v>55</v>
      </c>
      <c r="D1728" s="70" t="s">
        <v>183</v>
      </c>
      <c r="E1728" s="28" t="s">
        <v>33</v>
      </c>
      <c r="F1728" s="23">
        <v>1</v>
      </c>
      <c r="G1728" s="33">
        <v>64.228437968658596</v>
      </c>
      <c r="H1728" s="33">
        <v>64.228437968658596</v>
      </c>
    </row>
    <row r="1729" spans="3:8">
      <c r="C1729" s="28"/>
      <c r="D1729" s="48"/>
      <c r="E1729" s="28"/>
      <c r="F1729" s="23"/>
      <c r="G1729" s="33">
        <v>9.0299999999999994</v>
      </c>
      <c r="H1729" s="44">
        <v>0</v>
      </c>
    </row>
    <row r="1730" spans="3:8">
      <c r="C1730" s="28"/>
      <c r="D1730" s="48"/>
      <c r="E1730" s="28"/>
      <c r="F1730" s="23"/>
      <c r="G1730" s="33">
        <v>0</v>
      </c>
      <c r="H1730" s="44">
        <v>0</v>
      </c>
    </row>
    <row r="1731" spans="3:8">
      <c r="C1731" s="28"/>
      <c r="D1731" s="48"/>
      <c r="E1731" s="28"/>
      <c r="F1731" s="23"/>
      <c r="G1731" s="33">
        <v>0</v>
      </c>
      <c r="H1731" s="44">
        <v>0</v>
      </c>
    </row>
    <row r="1732" spans="3:8">
      <c r="C1732" s="28"/>
      <c r="D1732" s="48"/>
      <c r="E1732" s="28"/>
      <c r="F1732" s="23"/>
      <c r="G1732" s="33">
        <v>0</v>
      </c>
      <c r="H1732" s="44">
        <v>0</v>
      </c>
    </row>
    <row r="1733" spans="3:8">
      <c r="C1733" s="28"/>
      <c r="D1733" s="48"/>
      <c r="E1733" s="28"/>
      <c r="F1733" s="23"/>
      <c r="G1733" s="33">
        <v>0</v>
      </c>
      <c r="H1733" s="44">
        <v>0</v>
      </c>
    </row>
    <row r="1734" spans="3:8">
      <c r="C1734" s="28"/>
      <c r="D1734" s="48"/>
      <c r="E1734" s="28"/>
      <c r="F1734" s="23"/>
      <c r="G1734" s="33">
        <v>0</v>
      </c>
      <c r="H1734" s="44">
        <v>0</v>
      </c>
    </row>
    <row r="1735" spans="3:8">
      <c r="C1735" s="34" t="s">
        <v>21</v>
      </c>
      <c r="D1735" s="34"/>
      <c r="E1735" s="34"/>
      <c r="F1735" s="35"/>
      <c r="G1735" s="34"/>
      <c r="H1735" s="36">
        <v>121.65022162572809</v>
      </c>
    </row>
    <row r="1736" spans="3:8" ht="15.75">
      <c r="C1736" s="49" t="s">
        <v>22</v>
      </c>
      <c r="D1736" s="50"/>
      <c r="E1736" s="50"/>
      <c r="F1736" s="51"/>
      <c r="G1736" s="52"/>
      <c r="H1736" s="36">
        <v>1073.5554037172174</v>
      </c>
    </row>
    <row r="1737" spans="3:8" ht="15.75">
      <c r="C1737" s="49" t="s">
        <v>23</v>
      </c>
      <c r="D1737" s="50"/>
      <c r="E1737" s="50"/>
      <c r="F1737" s="51"/>
      <c r="G1737" s="52"/>
      <c r="H1737" s="53">
        <v>264.47190914691492</v>
      </c>
    </row>
    <row r="1738" spans="3:8" ht="15.75">
      <c r="C1738" s="49" t="s">
        <v>24</v>
      </c>
      <c r="D1738" s="50"/>
      <c r="E1738" s="50"/>
      <c r="F1738" s="51"/>
      <c r="G1738" s="52"/>
      <c r="H1738" s="36">
        <v>1338.03</v>
      </c>
    </row>
    <row r="1739" spans="3:8" ht="15.75">
      <c r="C1739" s="84"/>
      <c r="D1739" s="84"/>
      <c r="E1739" s="84"/>
      <c r="F1739" s="85"/>
      <c r="G1739" s="84"/>
      <c r="H1739" s="86"/>
    </row>
    <row r="1740" spans="3:8" ht="30">
      <c r="C1740" s="5" t="s">
        <v>1</v>
      </c>
      <c r="D1740" s="6" t="s">
        <v>248</v>
      </c>
      <c r="E1740" s="6"/>
      <c r="F1740" s="7"/>
      <c r="G1740" s="8"/>
      <c r="H1740" s="9"/>
    </row>
    <row r="1741" spans="3:8">
      <c r="C1741" s="10" t="s">
        <v>3</v>
      </c>
      <c r="D1741" s="11" t="s">
        <v>249</v>
      </c>
      <c r="E1741" s="12"/>
      <c r="F1741" s="13" t="s">
        <v>5</v>
      </c>
      <c r="G1741" s="14" t="s">
        <v>177</v>
      </c>
      <c r="H1741" s="15">
        <v>1519.82</v>
      </c>
    </row>
    <row r="1742" spans="3:8">
      <c r="C1742" s="16" t="s">
        <v>7</v>
      </c>
      <c r="D1742" s="16" t="s">
        <v>8</v>
      </c>
      <c r="E1742" s="16" t="s">
        <v>9</v>
      </c>
      <c r="F1742" s="17" t="s">
        <v>10</v>
      </c>
      <c r="G1742" s="18" t="s">
        <v>11</v>
      </c>
      <c r="H1742" s="18" t="s">
        <v>12</v>
      </c>
    </row>
    <row r="1743" spans="3:8">
      <c r="C1743" s="16"/>
      <c r="D1743" s="16"/>
      <c r="E1743" s="16"/>
      <c r="F1743" s="17"/>
      <c r="G1743" s="19"/>
      <c r="H1743" s="19"/>
    </row>
    <row r="1744" spans="3:8">
      <c r="C1744" s="20" t="s">
        <v>13</v>
      </c>
      <c r="D1744" s="21" t="s">
        <v>14</v>
      </c>
      <c r="E1744" s="22"/>
      <c r="F1744" s="23"/>
      <c r="G1744" s="24"/>
      <c r="H1744" s="25"/>
    </row>
    <row r="1745" spans="3:8">
      <c r="C1745" s="22" t="s">
        <v>107</v>
      </c>
      <c r="D1745" s="54" t="s">
        <v>178</v>
      </c>
      <c r="E1745" s="22" t="s">
        <v>29</v>
      </c>
      <c r="F1745" s="43">
        <v>3.93834837639033</v>
      </c>
      <c r="G1745" s="29">
        <v>78.795486071171297</v>
      </c>
      <c r="H1745" s="30">
        <v>310.32407463528432</v>
      </c>
    </row>
    <row r="1746" spans="3:8">
      <c r="C1746" s="22" t="s">
        <v>27</v>
      </c>
      <c r="D1746" s="48" t="s">
        <v>179</v>
      </c>
      <c r="E1746" s="22" t="s">
        <v>29</v>
      </c>
      <c r="F1746" s="43">
        <v>0.88610725133222601</v>
      </c>
      <c r="G1746" s="29">
        <v>45.411750977784656</v>
      </c>
      <c r="H1746" s="30">
        <v>40.239681837108286</v>
      </c>
    </row>
    <row r="1747" spans="3:8">
      <c r="C1747" s="22" t="s">
        <v>107</v>
      </c>
      <c r="D1747" s="48" t="s">
        <v>180</v>
      </c>
      <c r="E1747" s="22" t="s">
        <v>29</v>
      </c>
      <c r="F1747" s="43">
        <v>0.97432753348220602</v>
      </c>
      <c r="G1747" s="29">
        <v>72.442078740927272</v>
      </c>
      <c r="H1747" s="30">
        <v>70.582311899971415</v>
      </c>
    </row>
    <row r="1748" spans="3:8">
      <c r="C1748" s="22" t="s">
        <v>27</v>
      </c>
      <c r="D1748" s="48" t="s">
        <v>138</v>
      </c>
      <c r="E1748" s="22" t="s">
        <v>29</v>
      </c>
      <c r="F1748" s="43">
        <v>0.76120932661538199</v>
      </c>
      <c r="G1748" s="29">
        <v>74.717676591289091</v>
      </c>
      <c r="H1748" s="30">
        <v>56.875792284321058</v>
      </c>
    </row>
    <row r="1749" spans="3:8">
      <c r="C1749" s="22" t="s">
        <v>107</v>
      </c>
      <c r="D1749" s="48" t="s">
        <v>181</v>
      </c>
      <c r="E1749" s="81" t="s">
        <v>29</v>
      </c>
      <c r="F1749" s="43">
        <v>5.3216921546636398</v>
      </c>
      <c r="G1749" s="29">
        <v>106.73171041640566</v>
      </c>
      <c r="H1749" s="30">
        <v>567.99330597681751</v>
      </c>
    </row>
    <row r="1750" spans="3:8">
      <c r="C1750" s="22"/>
      <c r="D1750" s="48"/>
      <c r="E1750" s="22"/>
      <c r="F1750" s="43"/>
      <c r="G1750" s="29">
        <v>0</v>
      </c>
      <c r="H1750" s="30">
        <v>0</v>
      </c>
    </row>
    <row r="1751" spans="3:8">
      <c r="C1751" s="26"/>
      <c r="D1751" s="48"/>
      <c r="E1751" s="22"/>
      <c r="F1751" s="43"/>
      <c r="G1751" s="29">
        <v>0</v>
      </c>
      <c r="H1751" s="30">
        <v>0</v>
      </c>
    </row>
    <row r="1752" spans="3:8">
      <c r="C1752" s="26"/>
      <c r="D1752" s="48"/>
      <c r="E1752" s="22"/>
      <c r="F1752" s="57"/>
      <c r="G1752" s="29">
        <v>0</v>
      </c>
      <c r="H1752" s="30">
        <v>0</v>
      </c>
    </row>
    <row r="1753" spans="3:8">
      <c r="C1753" s="34" t="s">
        <v>15</v>
      </c>
      <c r="D1753" s="34"/>
      <c r="E1753" s="34"/>
      <c r="F1753" s="35"/>
      <c r="G1753" s="34"/>
      <c r="H1753" s="36">
        <v>1046.0151666335025</v>
      </c>
    </row>
    <row r="1754" spans="3:8">
      <c r="C1754" s="37" t="s">
        <v>16</v>
      </c>
      <c r="D1754" s="38" t="s">
        <v>17</v>
      </c>
      <c r="E1754" s="39"/>
      <c r="F1754" s="40"/>
      <c r="G1754" s="41"/>
      <c r="H1754" s="41"/>
    </row>
    <row r="1755" spans="3:8">
      <c r="C1755" s="22" t="s">
        <v>31</v>
      </c>
      <c r="D1755" s="77" t="s">
        <v>114</v>
      </c>
      <c r="E1755" s="22" t="s">
        <v>6</v>
      </c>
      <c r="F1755" s="78">
        <v>0.48750000000000004</v>
      </c>
      <c r="G1755" s="45">
        <v>73.221061664345186</v>
      </c>
      <c r="H1755" s="44">
        <v>35.695267561368283</v>
      </c>
    </row>
    <row r="1756" spans="3:8">
      <c r="C1756" s="22"/>
      <c r="D1756" s="58"/>
      <c r="E1756" s="22"/>
      <c r="F1756" s="94"/>
      <c r="G1756" s="30">
        <v>0</v>
      </c>
      <c r="H1756" s="44">
        <v>0</v>
      </c>
    </row>
    <row r="1757" spans="3:8">
      <c r="C1757" s="22"/>
      <c r="D1757" s="58"/>
      <c r="E1757" s="22"/>
      <c r="F1757" s="23"/>
      <c r="G1757" s="30">
        <v>0</v>
      </c>
      <c r="H1757" s="44">
        <v>0</v>
      </c>
    </row>
    <row r="1758" spans="3:8">
      <c r="C1758" s="22"/>
      <c r="D1758" s="58"/>
      <c r="E1758" s="22"/>
      <c r="F1758" s="23"/>
      <c r="G1758" s="30">
        <v>0</v>
      </c>
      <c r="H1758" s="44">
        <v>0</v>
      </c>
    </row>
    <row r="1759" spans="3:8">
      <c r="C1759" s="22"/>
      <c r="D1759" s="58"/>
      <c r="E1759" s="22"/>
      <c r="F1759" s="23"/>
      <c r="G1759" s="30">
        <v>0</v>
      </c>
      <c r="H1759" s="44">
        <v>0</v>
      </c>
    </row>
    <row r="1760" spans="3:8">
      <c r="C1760" s="22"/>
      <c r="D1760" s="58"/>
      <c r="E1760" s="22"/>
      <c r="F1760" s="23"/>
      <c r="G1760" s="30">
        <v>0</v>
      </c>
      <c r="H1760" s="44">
        <v>0</v>
      </c>
    </row>
    <row r="1761" spans="3:8">
      <c r="C1761" s="22"/>
      <c r="D1761" s="58"/>
      <c r="E1761" s="22"/>
      <c r="F1761" s="23"/>
      <c r="G1761" s="45">
        <v>0</v>
      </c>
      <c r="H1761" s="44">
        <v>0</v>
      </c>
    </row>
    <row r="1762" spans="3:8">
      <c r="C1762" s="22"/>
      <c r="D1762" s="27"/>
      <c r="E1762" s="22"/>
      <c r="F1762" s="32"/>
      <c r="G1762" s="30">
        <v>0</v>
      </c>
      <c r="H1762" s="44">
        <v>0</v>
      </c>
    </row>
    <row r="1763" spans="3:8">
      <c r="C1763" s="34" t="s">
        <v>18</v>
      </c>
      <c r="D1763" s="34"/>
      <c r="E1763" s="34"/>
      <c r="F1763" s="35"/>
      <c r="G1763" s="34"/>
      <c r="H1763" s="36">
        <v>35.695267561368283</v>
      </c>
    </row>
    <row r="1764" spans="3:8">
      <c r="C1764" s="37" t="s">
        <v>19</v>
      </c>
      <c r="D1764" s="38" t="s">
        <v>20</v>
      </c>
      <c r="E1764" s="39"/>
      <c r="F1764" s="46"/>
      <c r="G1764" s="47"/>
      <c r="H1764" s="47">
        <v>0</v>
      </c>
    </row>
    <row r="1765" spans="3:8">
      <c r="C1765" s="28" t="s">
        <v>55</v>
      </c>
      <c r="D1765" s="48" t="s">
        <v>182</v>
      </c>
      <c r="E1765" s="28" t="s">
        <v>6</v>
      </c>
      <c r="F1765" s="23">
        <v>1</v>
      </c>
      <c r="G1765" s="33">
        <v>57.421783657069497</v>
      </c>
      <c r="H1765" s="33">
        <v>57.421783657069497</v>
      </c>
    </row>
    <row r="1766" spans="3:8">
      <c r="C1766" s="28" t="s">
        <v>55</v>
      </c>
      <c r="D1766" s="48" t="s">
        <v>183</v>
      </c>
      <c r="E1766" s="28" t="s">
        <v>33</v>
      </c>
      <c r="F1766" s="23">
        <v>1</v>
      </c>
      <c r="G1766" s="33">
        <v>80.285547460823196</v>
      </c>
      <c r="H1766" s="33">
        <v>80.285547460823196</v>
      </c>
    </row>
    <row r="1767" spans="3:8">
      <c r="C1767" s="28"/>
      <c r="D1767" s="48"/>
      <c r="E1767" s="28"/>
      <c r="F1767" s="23"/>
      <c r="G1767" s="33">
        <v>0</v>
      </c>
      <c r="H1767" s="44">
        <v>0</v>
      </c>
    </row>
    <row r="1768" spans="3:8">
      <c r="C1768" s="28"/>
      <c r="D1768" s="48"/>
      <c r="E1768" s="28"/>
      <c r="F1768" s="23"/>
      <c r="G1768" s="33">
        <v>0</v>
      </c>
      <c r="H1768" s="44">
        <v>0</v>
      </c>
    </row>
    <row r="1769" spans="3:8">
      <c r="C1769" s="28"/>
      <c r="D1769" s="48"/>
      <c r="E1769" s="28"/>
      <c r="F1769" s="23"/>
      <c r="G1769" s="33">
        <v>0</v>
      </c>
      <c r="H1769" s="44">
        <v>0</v>
      </c>
    </row>
    <row r="1770" spans="3:8">
      <c r="C1770" s="28"/>
      <c r="D1770" s="48"/>
      <c r="E1770" s="28"/>
      <c r="F1770" s="23"/>
      <c r="G1770" s="33">
        <v>0</v>
      </c>
      <c r="H1770" s="44">
        <v>0</v>
      </c>
    </row>
    <row r="1771" spans="3:8">
      <c r="C1771" s="28"/>
      <c r="D1771" s="48"/>
      <c r="E1771" s="28"/>
      <c r="F1771" s="23"/>
      <c r="G1771" s="33">
        <v>0</v>
      </c>
      <c r="H1771" s="44">
        <v>0</v>
      </c>
    </row>
    <row r="1772" spans="3:8">
      <c r="C1772" s="28"/>
      <c r="D1772" s="48"/>
      <c r="E1772" s="28"/>
      <c r="F1772" s="23"/>
      <c r="G1772" s="33">
        <v>0</v>
      </c>
      <c r="H1772" s="44">
        <v>0</v>
      </c>
    </row>
    <row r="1773" spans="3:8">
      <c r="C1773" s="34" t="s">
        <v>21</v>
      </c>
      <c r="D1773" s="34"/>
      <c r="E1773" s="34"/>
      <c r="F1773" s="35"/>
      <c r="G1773" s="34"/>
      <c r="H1773" s="36">
        <v>137.70733111789269</v>
      </c>
    </row>
    <row r="1774" spans="3:8" ht="15.75">
      <c r="C1774" s="49" t="s">
        <v>22</v>
      </c>
      <c r="D1774" s="50"/>
      <c r="E1774" s="50"/>
      <c r="F1774" s="51"/>
      <c r="G1774" s="52"/>
      <c r="H1774" s="36">
        <v>1219.4177653127635</v>
      </c>
    </row>
    <row r="1775" spans="3:8" ht="15.75">
      <c r="C1775" s="49" t="s">
        <v>23</v>
      </c>
      <c r="D1775" s="50"/>
      <c r="E1775" s="50"/>
      <c r="F1775" s="51"/>
      <c r="G1775" s="52"/>
      <c r="H1775" s="53">
        <v>300.40531054406637</v>
      </c>
    </row>
    <row r="1776" spans="3:8" ht="15.75">
      <c r="C1776" s="49" t="s">
        <v>24</v>
      </c>
      <c r="D1776" s="50"/>
      <c r="E1776" s="50"/>
      <c r="F1776" s="51"/>
      <c r="G1776" s="52"/>
      <c r="H1776" s="36">
        <v>1519.82</v>
      </c>
    </row>
    <row r="1777" spans="3:8" ht="15.75">
      <c r="C1777" s="84"/>
      <c r="D1777" s="84"/>
      <c r="E1777" s="84"/>
      <c r="F1777" s="85"/>
      <c r="G1777" s="84"/>
      <c r="H1777" s="86"/>
    </row>
    <row r="1778" spans="3:8" ht="30">
      <c r="C1778" s="5" t="s">
        <v>1</v>
      </c>
      <c r="D1778" s="6" t="s">
        <v>250</v>
      </c>
      <c r="E1778" s="6"/>
      <c r="F1778" s="7"/>
      <c r="G1778" s="8"/>
      <c r="H1778" s="9"/>
    </row>
    <row r="1779" spans="3:8">
      <c r="C1779" s="10" t="s">
        <v>3</v>
      </c>
      <c r="D1779" s="11" t="s">
        <v>251</v>
      </c>
      <c r="E1779" s="12"/>
      <c r="F1779" s="13" t="s">
        <v>5</v>
      </c>
      <c r="G1779" s="14" t="s">
        <v>177</v>
      </c>
      <c r="H1779" s="15">
        <v>1519.82</v>
      </c>
    </row>
    <row r="1780" spans="3:8">
      <c r="C1780" s="16" t="s">
        <v>7</v>
      </c>
      <c r="D1780" s="16" t="s">
        <v>8</v>
      </c>
      <c r="E1780" s="16" t="s">
        <v>9</v>
      </c>
      <c r="F1780" s="17" t="s">
        <v>10</v>
      </c>
      <c r="G1780" s="18" t="s">
        <v>11</v>
      </c>
      <c r="H1780" s="18" t="s">
        <v>12</v>
      </c>
    </row>
    <row r="1781" spans="3:8">
      <c r="C1781" s="16"/>
      <c r="D1781" s="16"/>
      <c r="E1781" s="16"/>
      <c r="F1781" s="17"/>
      <c r="G1781" s="19"/>
      <c r="H1781" s="19"/>
    </row>
    <row r="1782" spans="3:8">
      <c r="C1782" s="20" t="s">
        <v>13</v>
      </c>
      <c r="D1782" s="21" t="s">
        <v>14</v>
      </c>
      <c r="E1782" s="22"/>
      <c r="F1782" s="23"/>
      <c r="G1782" s="24"/>
      <c r="H1782" s="25"/>
    </row>
    <row r="1783" spans="3:8">
      <c r="C1783" s="22" t="s">
        <v>107</v>
      </c>
      <c r="D1783" s="54" t="s">
        <v>178</v>
      </c>
      <c r="E1783" s="22" t="s">
        <v>29</v>
      </c>
      <c r="F1783" s="43">
        <v>3.93834837639033</v>
      </c>
      <c r="G1783" s="29">
        <v>78.795486071171297</v>
      </c>
      <c r="H1783" s="30">
        <v>310.32407463528432</v>
      </c>
    </row>
    <row r="1784" spans="3:8">
      <c r="C1784" s="22" t="s">
        <v>27</v>
      </c>
      <c r="D1784" s="48" t="s">
        <v>179</v>
      </c>
      <c r="E1784" s="22" t="s">
        <v>29</v>
      </c>
      <c r="F1784" s="43">
        <v>0.88610725133222601</v>
      </c>
      <c r="G1784" s="29">
        <v>45.411750977784656</v>
      </c>
      <c r="H1784" s="30">
        <v>40.239681837108286</v>
      </c>
    </row>
    <row r="1785" spans="3:8">
      <c r="C1785" s="22" t="s">
        <v>107</v>
      </c>
      <c r="D1785" s="48" t="s">
        <v>180</v>
      </c>
      <c r="E1785" s="22" t="s">
        <v>29</v>
      </c>
      <c r="F1785" s="43">
        <v>0.97432753348220602</v>
      </c>
      <c r="G1785" s="29">
        <v>72.442078740927272</v>
      </c>
      <c r="H1785" s="30">
        <v>70.582311899971415</v>
      </c>
    </row>
    <row r="1786" spans="3:8">
      <c r="C1786" s="22" t="s">
        <v>27</v>
      </c>
      <c r="D1786" s="48" t="s">
        <v>138</v>
      </c>
      <c r="E1786" s="22" t="s">
        <v>29</v>
      </c>
      <c r="F1786" s="43">
        <v>0.76120932661538199</v>
      </c>
      <c r="G1786" s="29">
        <v>74.717676591289091</v>
      </c>
      <c r="H1786" s="30">
        <v>56.875792284321058</v>
      </c>
    </row>
    <row r="1787" spans="3:8">
      <c r="C1787" s="22" t="s">
        <v>107</v>
      </c>
      <c r="D1787" s="48" t="s">
        <v>181</v>
      </c>
      <c r="E1787" s="81" t="s">
        <v>29</v>
      </c>
      <c r="F1787" s="43">
        <v>5.3216921546636398</v>
      </c>
      <c r="G1787" s="29">
        <v>106.73171041640566</v>
      </c>
      <c r="H1787" s="30">
        <v>567.99330597681751</v>
      </c>
    </row>
    <row r="1788" spans="3:8">
      <c r="C1788" s="22"/>
      <c r="D1788" s="48"/>
      <c r="E1788" s="22"/>
      <c r="F1788" s="43"/>
      <c r="G1788" s="29">
        <v>0</v>
      </c>
      <c r="H1788" s="30">
        <v>0</v>
      </c>
    </row>
    <row r="1789" spans="3:8">
      <c r="C1789" s="26"/>
      <c r="D1789" s="48"/>
      <c r="E1789" s="22"/>
      <c r="F1789" s="43"/>
      <c r="G1789" s="29">
        <v>0</v>
      </c>
      <c r="H1789" s="30">
        <v>0</v>
      </c>
    </row>
    <row r="1790" spans="3:8">
      <c r="C1790" s="26"/>
      <c r="D1790" s="48"/>
      <c r="E1790" s="22"/>
      <c r="F1790" s="57"/>
      <c r="G1790" s="29">
        <v>0</v>
      </c>
      <c r="H1790" s="30">
        <v>0</v>
      </c>
    </row>
    <row r="1791" spans="3:8">
      <c r="C1791" s="34" t="s">
        <v>15</v>
      </c>
      <c r="D1791" s="34"/>
      <c r="E1791" s="34"/>
      <c r="F1791" s="35"/>
      <c r="G1791" s="34"/>
      <c r="H1791" s="36">
        <v>1046.0151666335025</v>
      </c>
    </row>
    <row r="1792" spans="3:8">
      <c r="C1792" s="37" t="s">
        <v>16</v>
      </c>
      <c r="D1792" s="38" t="s">
        <v>17</v>
      </c>
      <c r="E1792" s="39"/>
      <c r="F1792" s="40"/>
      <c r="G1792" s="41"/>
      <c r="H1792" s="41"/>
    </row>
    <row r="1793" spans="3:8">
      <c r="C1793" s="22" t="s">
        <v>31</v>
      </c>
      <c r="D1793" s="77" t="s">
        <v>114</v>
      </c>
      <c r="E1793" s="22" t="s">
        <v>6</v>
      </c>
      <c r="F1793" s="78">
        <v>0.48750000000000004</v>
      </c>
      <c r="G1793" s="45">
        <v>73.221061664345186</v>
      </c>
      <c r="H1793" s="44">
        <v>35.695267561368283</v>
      </c>
    </row>
    <row r="1794" spans="3:8">
      <c r="C1794" s="22"/>
      <c r="D1794" s="58"/>
      <c r="E1794" s="22"/>
      <c r="F1794" s="94"/>
      <c r="G1794" s="30">
        <v>0</v>
      </c>
      <c r="H1794" s="44">
        <v>0</v>
      </c>
    </row>
    <row r="1795" spans="3:8">
      <c r="C1795" s="22"/>
      <c r="D1795" s="58"/>
      <c r="E1795" s="22"/>
      <c r="F1795" s="23"/>
      <c r="G1795" s="30">
        <v>0</v>
      </c>
      <c r="H1795" s="44">
        <v>0</v>
      </c>
    </row>
    <row r="1796" spans="3:8">
      <c r="C1796" s="22"/>
      <c r="D1796" s="58"/>
      <c r="E1796" s="22"/>
      <c r="F1796" s="23"/>
      <c r="G1796" s="30">
        <v>0</v>
      </c>
      <c r="H1796" s="44">
        <v>0</v>
      </c>
    </row>
    <row r="1797" spans="3:8">
      <c r="C1797" s="22"/>
      <c r="D1797" s="58"/>
      <c r="E1797" s="22"/>
      <c r="F1797" s="23"/>
      <c r="G1797" s="30">
        <v>0</v>
      </c>
      <c r="H1797" s="44">
        <v>0</v>
      </c>
    </row>
    <row r="1798" spans="3:8">
      <c r="C1798" s="22"/>
      <c r="D1798" s="58"/>
      <c r="E1798" s="22"/>
      <c r="F1798" s="23"/>
      <c r="G1798" s="30">
        <v>0</v>
      </c>
      <c r="H1798" s="44">
        <v>0</v>
      </c>
    </row>
    <row r="1799" spans="3:8">
      <c r="C1799" s="22"/>
      <c r="D1799" s="58"/>
      <c r="E1799" s="22"/>
      <c r="F1799" s="23"/>
      <c r="G1799" s="45">
        <v>0</v>
      </c>
      <c r="H1799" s="44">
        <v>0</v>
      </c>
    </row>
    <row r="1800" spans="3:8">
      <c r="C1800" s="22"/>
      <c r="D1800" s="27"/>
      <c r="E1800" s="22"/>
      <c r="F1800" s="32"/>
      <c r="G1800" s="30">
        <v>0</v>
      </c>
      <c r="H1800" s="44">
        <v>0</v>
      </c>
    </row>
    <row r="1801" spans="3:8">
      <c r="C1801" s="34" t="s">
        <v>18</v>
      </c>
      <c r="D1801" s="34"/>
      <c r="E1801" s="34"/>
      <c r="F1801" s="35"/>
      <c r="G1801" s="34"/>
      <c r="H1801" s="36">
        <v>35.695267561368283</v>
      </c>
    </row>
    <row r="1802" spans="3:8">
      <c r="C1802" s="37" t="s">
        <v>19</v>
      </c>
      <c r="D1802" s="38" t="s">
        <v>20</v>
      </c>
      <c r="E1802" s="39"/>
      <c r="F1802" s="46"/>
      <c r="G1802" s="47"/>
      <c r="H1802" s="47">
        <v>0</v>
      </c>
    </row>
    <row r="1803" spans="3:8">
      <c r="C1803" s="28" t="s">
        <v>55</v>
      </c>
      <c r="D1803" s="48" t="s">
        <v>182</v>
      </c>
      <c r="E1803" s="28" t="s">
        <v>6</v>
      </c>
      <c r="F1803" s="23">
        <v>1</v>
      </c>
      <c r="G1803" s="33">
        <v>57.421783657069497</v>
      </c>
      <c r="H1803" s="33">
        <v>57.421783657069497</v>
      </c>
    </row>
    <row r="1804" spans="3:8">
      <c r="C1804" s="28" t="s">
        <v>55</v>
      </c>
      <c r="D1804" s="48" t="s">
        <v>183</v>
      </c>
      <c r="E1804" s="28" t="s">
        <v>33</v>
      </c>
      <c r="F1804" s="23">
        <v>1</v>
      </c>
      <c r="G1804" s="33">
        <v>80.285547460823196</v>
      </c>
      <c r="H1804" s="33">
        <v>80.285547460823196</v>
      </c>
    </row>
    <row r="1805" spans="3:8">
      <c r="C1805" s="28"/>
      <c r="D1805" s="48"/>
      <c r="E1805" s="28"/>
      <c r="F1805" s="23"/>
      <c r="G1805" s="33">
        <v>0</v>
      </c>
      <c r="H1805" s="44">
        <v>0</v>
      </c>
    </row>
    <row r="1806" spans="3:8">
      <c r="C1806" s="28"/>
      <c r="D1806" s="48"/>
      <c r="E1806" s="28"/>
      <c r="F1806" s="23"/>
      <c r="G1806" s="33">
        <v>0</v>
      </c>
      <c r="H1806" s="44">
        <v>0</v>
      </c>
    </row>
    <row r="1807" spans="3:8">
      <c r="C1807" s="28"/>
      <c r="D1807" s="48"/>
      <c r="E1807" s="28"/>
      <c r="F1807" s="23"/>
      <c r="G1807" s="33">
        <v>0</v>
      </c>
      <c r="H1807" s="44">
        <v>0</v>
      </c>
    </row>
    <row r="1808" spans="3:8">
      <c r="C1808" s="28"/>
      <c r="D1808" s="48"/>
      <c r="E1808" s="28"/>
      <c r="F1808" s="23"/>
      <c r="G1808" s="33">
        <v>0</v>
      </c>
      <c r="H1808" s="44">
        <v>0</v>
      </c>
    </row>
    <row r="1809" spans="3:8">
      <c r="C1809" s="28"/>
      <c r="D1809" s="48"/>
      <c r="E1809" s="28"/>
      <c r="F1809" s="23"/>
      <c r="G1809" s="33">
        <v>0</v>
      </c>
      <c r="H1809" s="44">
        <v>0</v>
      </c>
    </row>
    <row r="1810" spans="3:8">
      <c r="C1810" s="28"/>
      <c r="D1810" s="48"/>
      <c r="E1810" s="28"/>
      <c r="F1810" s="23"/>
      <c r="G1810" s="33">
        <v>0</v>
      </c>
      <c r="H1810" s="44">
        <v>0</v>
      </c>
    </row>
    <row r="1811" spans="3:8">
      <c r="C1811" s="34" t="s">
        <v>21</v>
      </c>
      <c r="D1811" s="34"/>
      <c r="E1811" s="34"/>
      <c r="F1811" s="35"/>
      <c r="G1811" s="34"/>
      <c r="H1811" s="36">
        <v>137.70733111789269</v>
      </c>
    </row>
    <row r="1812" spans="3:8" ht="15.75">
      <c r="C1812" s="49" t="s">
        <v>22</v>
      </c>
      <c r="D1812" s="50"/>
      <c r="E1812" s="50"/>
      <c r="F1812" s="51"/>
      <c r="G1812" s="52"/>
      <c r="H1812" s="36">
        <v>1219.4177653127635</v>
      </c>
    </row>
    <row r="1813" spans="3:8" ht="15.75">
      <c r="C1813" s="49" t="s">
        <v>23</v>
      </c>
      <c r="D1813" s="50"/>
      <c r="E1813" s="50"/>
      <c r="F1813" s="51"/>
      <c r="G1813" s="52"/>
      <c r="H1813" s="53">
        <v>300.40531054406637</v>
      </c>
    </row>
    <row r="1814" spans="3:8" ht="15.75">
      <c r="C1814" s="49" t="s">
        <v>24</v>
      </c>
      <c r="D1814" s="50"/>
      <c r="E1814" s="50"/>
      <c r="F1814" s="51"/>
      <c r="G1814" s="52"/>
      <c r="H1814" s="36">
        <v>1519.82</v>
      </c>
    </row>
    <row r="1815" spans="3:8" ht="15.75">
      <c r="C1815" s="84"/>
      <c r="D1815" s="84"/>
      <c r="E1815" s="84"/>
      <c r="F1815" s="85"/>
      <c r="G1815" s="84"/>
      <c r="H1815" s="86"/>
    </row>
    <row r="1816" spans="3:8" ht="30">
      <c r="C1816" s="5" t="s">
        <v>1</v>
      </c>
      <c r="D1816" s="100" t="s">
        <v>252</v>
      </c>
      <c r="E1816" s="6"/>
      <c r="F1816" s="7"/>
      <c r="G1816" s="8"/>
      <c r="H1816" s="9"/>
    </row>
    <row r="1817" spans="3:8">
      <c r="C1817" s="10" t="s">
        <v>3</v>
      </c>
      <c r="D1817" s="11" t="s">
        <v>253</v>
      </c>
      <c r="E1817" s="12"/>
      <c r="F1817" s="13" t="s">
        <v>5</v>
      </c>
      <c r="G1817" s="14" t="s">
        <v>177</v>
      </c>
      <c r="H1817" s="15">
        <v>2533.81</v>
      </c>
    </row>
    <row r="1818" spans="3:8">
      <c r="C1818" s="16" t="s">
        <v>7</v>
      </c>
      <c r="D1818" s="16" t="s">
        <v>8</v>
      </c>
      <c r="E1818" s="16" t="s">
        <v>9</v>
      </c>
      <c r="F1818" s="17" t="s">
        <v>10</v>
      </c>
      <c r="G1818" s="18" t="s">
        <v>11</v>
      </c>
      <c r="H1818" s="18" t="s">
        <v>12</v>
      </c>
    </row>
    <row r="1819" spans="3:8">
      <c r="C1819" s="16"/>
      <c r="D1819" s="16"/>
      <c r="E1819" s="16"/>
      <c r="F1819" s="17"/>
      <c r="G1819" s="19"/>
      <c r="H1819" s="19"/>
    </row>
    <row r="1820" spans="3:8">
      <c r="C1820" s="20" t="s">
        <v>13</v>
      </c>
      <c r="D1820" s="21" t="s">
        <v>14</v>
      </c>
      <c r="E1820" s="22"/>
      <c r="F1820" s="23"/>
      <c r="G1820" s="24"/>
      <c r="H1820" s="25"/>
    </row>
    <row r="1821" spans="3:8">
      <c r="C1821" s="22" t="s">
        <v>107</v>
      </c>
      <c r="D1821" s="54" t="s">
        <v>178</v>
      </c>
      <c r="E1821" s="22" t="s">
        <v>29</v>
      </c>
      <c r="F1821" s="43">
        <v>5.2511311685204696</v>
      </c>
      <c r="G1821" s="45">
        <v>78.795486071171297</v>
      </c>
      <c r="H1821" s="30">
        <v>413.76543284704809</v>
      </c>
    </row>
    <row r="1822" spans="3:8">
      <c r="C1822" s="22" t="s">
        <v>27</v>
      </c>
      <c r="D1822" s="48" t="s">
        <v>179</v>
      </c>
      <c r="E1822" s="22" t="s">
        <v>29</v>
      </c>
      <c r="F1822" s="43">
        <v>1.18147633510963</v>
      </c>
      <c r="G1822" s="45">
        <v>45.411750977784656</v>
      </c>
      <c r="H1822" s="30">
        <v>53.652909116144173</v>
      </c>
    </row>
    <row r="1823" spans="3:8">
      <c r="C1823" s="22" t="s">
        <v>107</v>
      </c>
      <c r="D1823" s="48" t="s">
        <v>180</v>
      </c>
      <c r="E1823" s="22" t="s">
        <v>29</v>
      </c>
      <c r="F1823" s="43">
        <v>1.2991033779762799</v>
      </c>
      <c r="G1823" s="45">
        <v>72.442078740927272</v>
      </c>
      <c r="H1823" s="30">
        <v>94.10974919996228</v>
      </c>
    </row>
    <row r="1824" spans="3:8">
      <c r="C1824" s="22" t="s">
        <v>27</v>
      </c>
      <c r="D1824" s="48" t="s">
        <v>138</v>
      </c>
      <c r="E1824" s="22" t="s">
        <v>29</v>
      </c>
      <c r="F1824" s="43">
        <v>1.0149457688205099</v>
      </c>
      <c r="G1824" s="45">
        <v>74.717676591289091</v>
      </c>
      <c r="H1824" s="30">
        <v>75.83438971242812</v>
      </c>
    </row>
    <row r="1825" spans="3:8">
      <c r="C1825" s="22" t="s">
        <v>107</v>
      </c>
      <c r="D1825" s="48" t="s">
        <v>181</v>
      </c>
      <c r="E1825" s="81" t="s">
        <v>29</v>
      </c>
      <c r="F1825" s="43">
        <v>10.643384309327191</v>
      </c>
      <c r="G1825" s="45">
        <v>106.73171041640566</v>
      </c>
      <c r="H1825" s="30">
        <v>1135.9866119536255</v>
      </c>
    </row>
    <row r="1826" spans="3:8">
      <c r="C1826" s="22"/>
      <c r="D1826" s="48"/>
      <c r="E1826" s="22"/>
      <c r="F1826" s="43"/>
      <c r="G1826" s="29">
        <v>0</v>
      </c>
      <c r="H1826" s="30">
        <v>0</v>
      </c>
    </row>
    <row r="1827" spans="3:8">
      <c r="C1827" s="26"/>
      <c r="D1827" s="48"/>
      <c r="E1827" s="22"/>
      <c r="F1827" s="43"/>
      <c r="G1827" s="29">
        <v>0</v>
      </c>
      <c r="H1827" s="30">
        <v>0</v>
      </c>
    </row>
    <row r="1828" spans="3:8">
      <c r="C1828" s="26"/>
      <c r="D1828" s="48"/>
      <c r="E1828" s="22"/>
      <c r="F1828" s="57"/>
      <c r="G1828" s="29">
        <v>0</v>
      </c>
      <c r="H1828" s="30">
        <v>0</v>
      </c>
    </row>
    <row r="1829" spans="3:8">
      <c r="C1829" s="34" t="s">
        <v>15</v>
      </c>
      <c r="D1829" s="34"/>
      <c r="E1829" s="34"/>
      <c r="F1829" s="35"/>
      <c r="G1829" s="34"/>
      <c r="H1829" s="36">
        <v>1773.3490928292081</v>
      </c>
    </row>
    <row r="1830" spans="3:8">
      <c r="C1830" s="37" t="s">
        <v>16</v>
      </c>
      <c r="D1830" s="38" t="s">
        <v>17</v>
      </c>
      <c r="E1830" s="39"/>
      <c r="F1830" s="40"/>
      <c r="G1830" s="41"/>
      <c r="H1830" s="41"/>
    </row>
    <row r="1831" spans="3:8">
      <c r="C1831" s="22" t="s">
        <v>31</v>
      </c>
      <c r="D1831" s="77" t="s">
        <v>114</v>
      </c>
      <c r="E1831" s="22" t="s">
        <v>6</v>
      </c>
      <c r="F1831" s="78">
        <v>0.48750000000000004</v>
      </c>
      <c r="G1831" s="45">
        <v>124.13443649804458</v>
      </c>
      <c r="H1831" s="44">
        <v>60.515537792796735</v>
      </c>
    </row>
    <row r="1832" spans="3:8">
      <c r="C1832" s="22"/>
      <c r="D1832" s="58"/>
      <c r="E1832" s="22"/>
      <c r="F1832" s="94"/>
      <c r="G1832" s="30">
        <v>0</v>
      </c>
      <c r="H1832" s="44">
        <v>0</v>
      </c>
    </row>
    <row r="1833" spans="3:8">
      <c r="C1833" s="22"/>
      <c r="D1833" s="58"/>
      <c r="E1833" s="22"/>
      <c r="F1833" s="23"/>
      <c r="G1833" s="30">
        <v>0</v>
      </c>
      <c r="H1833" s="44">
        <v>0</v>
      </c>
    </row>
    <row r="1834" spans="3:8">
      <c r="C1834" s="22"/>
      <c r="D1834" s="58"/>
      <c r="E1834" s="22"/>
      <c r="F1834" s="23"/>
      <c r="G1834" s="30">
        <v>0</v>
      </c>
      <c r="H1834" s="44">
        <v>0</v>
      </c>
    </row>
    <row r="1835" spans="3:8">
      <c r="C1835" s="22"/>
      <c r="D1835" s="58"/>
      <c r="E1835" s="22"/>
      <c r="F1835" s="23"/>
      <c r="G1835" s="30">
        <v>0</v>
      </c>
      <c r="H1835" s="44">
        <v>0</v>
      </c>
    </row>
    <row r="1836" spans="3:8">
      <c r="C1836" s="22"/>
      <c r="D1836" s="58"/>
      <c r="E1836" s="22"/>
      <c r="F1836" s="23"/>
      <c r="G1836" s="30">
        <v>0</v>
      </c>
      <c r="H1836" s="44">
        <v>0</v>
      </c>
    </row>
    <row r="1837" spans="3:8">
      <c r="C1837" s="22"/>
      <c r="D1837" s="58"/>
      <c r="E1837" s="22"/>
      <c r="F1837" s="23"/>
      <c r="G1837" s="45">
        <v>0</v>
      </c>
      <c r="H1837" s="44">
        <v>0</v>
      </c>
    </row>
    <row r="1838" spans="3:8">
      <c r="C1838" s="22"/>
      <c r="D1838" s="27"/>
      <c r="E1838" s="22"/>
      <c r="F1838" s="32"/>
      <c r="G1838" s="30">
        <v>0</v>
      </c>
      <c r="H1838" s="44">
        <v>0</v>
      </c>
    </row>
    <row r="1839" spans="3:8">
      <c r="C1839" s="34" t="s">
        <v>18</v>
      </c>
      <c r="D1839" s="34"/>
      <c r="E1839" s="34"/>
      <c r="F1839" s="35"/>
      <c r="G1839" s="34"/>
      <c r="H1839" s="36">
        <v>60.515537792796735</v>
      </c>
    </row>
    <row r="1840" spans="3:8">
      <c r="C1840" s="37" t="s">
        <v>19</v>
      </c>
      <c r="D1840" s="38" t="s">
        <v>20</v>
      </c>
      <c r="E1840" s="39"/>
      <c r="F1840" s="46"/>
      <c r="G1840" s="47"/>
      <c r="H1840" s="47">
        <v>0</v>
      </c>
    </row>
    <row r="1841" spans="3:8">
      <c r="C1841" s="28" t="s">
        <v>55</v>
      </c>
      <c r="D1841" s="48" t="s">
        <v>182</v>
      </c>
      <c r="E1841" s="28" t="s">
        <v>6</v>
      </c>
      <c r="F1841" s="23">
        <v>1</v>
      </c>
      <c r="G1841" s="33">
        <v>57.421783657069497</v>
      </c>
      <c r="H1841" s="33">
        <v>57.421783657069497</v>
      </c>
    </row>
    <row r="1842" spans="3:8">
      <c r="C1842" s="28" t="s">
        <v>55</v>
      </c>
      <c r="D1842" s="48" t="s">
        <v>183</v>
      </c>
      <c r="E1842" s="28" t="s">
        <v>33</v>
      </c>
      <c r="F1842" s="23">
        <v>1</v>
      </c>
      <c r="G1842" s="33">
        <v>141.69264902987999</v>
      </c>
      <c r="H1842" s="33">
        <v>141.69264902987999</v>
      </c>
    </row>
    <row r="1843" spans="3:8">
      <c r="C1843" s="28"/>
      <c r="D1843" s="48"/>
      <c r="E1843" s="28"/>
      <c r="F1843" s="23"/>
      <c r="G1843" s="33">
        <v>0</v>
      </c>
      <c r="H1843" s="44">
        <v>0</v>
      </c>
    </row>
    <row r="1844" spans="3:8">
      <c r="C1844" s="28"/>
      <c r="D1844" s="48"/>
      <c r="E1844" s="28"/>
      <c r="F1844" s="23"/>
      <c r="G1844" s="33">
        <v>0</v>
      </c>
      <c r="H1844" s="44">
        <v>0</v>
      </c>
    </row>
    <row r="1845" spans="3:8">
      <c r="C1845" s="28"/>
      <c r="D1845" s="48"/>
      <c r="E1845" s="28"/>
      <c r="F1845" s="23"/>
      <c r="G1845" s="33">
        <v>0</v>
      </c>
      <c r="H1845" s="44">
        <v>0</v>
      </c>
    </row>
    <row r="1846" spans="3:8">
      <c r="C1846" s="28"/>
      <c r="D1846" s="48"/>
      <c r="E1846" s="28"/>
      <c r="F1846" s="23"/>
      <c r="G1846" s="33">
        <v>0</v>
      </c>
      <c r="H1846" s="44">
        <v>0</v>
      </c>
    </row>
    <row r="1847" spans="3:8">
      <c r="C1847" s="28"/>
      <c r="D1847" s="48"/>
      <c r="E1847" s="28"/>
      <c r="F1847" s="23"/>
      <c r="G1847" s="33">
        <v>0</v>
      </c>
      <c r="H1847" s="44">
        <v>0</v>
      </c>
    </row>
    <row r="1848" spans="3:8">
      <c r="C1848" s="28"/>
      <c r="D1848" s="48"/>
      <c r="E1848" s="28"/>
      <c r="F1848" s="23"/>
      <c r="G1848" s="33">
        <v>0</v>
      </c>
      <c r="H1848" s="44">
        <v>0</v>
      </c>
    </row>
    <row r="1849" spans="3:8">
      <c r="C1849" s="34" t="s">
        <v>21</v>
      </c>
      <c r="D1849" s="34"/>
      <c r="E1849" s="34"/>
      <c r="F1849" s="35"/>
      <c r="G1849" s="34"/>
      <c r="H1849" s="36">
        <v>199.1144326869495</v>
      </c>
    </row>
    <row r="1850" spans="3:8" ht="15.75">
      <c r="C1850" s="49" t="s">
        <v>22</v>
      </c>
      <c r="D1850" s="50"/>
      <c r="E1850" s="50"/>
      <c r="F1850" s="51"/>
      <c r="G1850" s="52"/>
      <c r="H1850" s="36">
        <v>2032.9790633089542</v>
      </c>
    </row>
    <row r="1851" spans="3:8" ht="15.75">
      <c r="C1851" s="49" t="s">
        <v>23</v>
      </c>
      <c r="D1851" s="50"/>
      <c r="E1851" s="50"/>
      <c r="F1851" s="51"/>
      <c r="G1851" s="52"/>
      <c r="H1851" s="53">
        <v>500.82729989280665</v>
      </c>
    </row>
    <row r="1852" spans="3:8" ht="15.75">
      <c r="C1852" s="49" t="s">
        <v>24</v>
      </c>
      <c r="D1852" s="50"/>
      <c r="E1852" s="50"/>
      <c r="F1852" s="51"/>
      <c r="G1852" s="52"/>
      <c r="H1852" s="36">
        <v>2533.81</v>
      </c>
    </row>
    <row r="1853" spans="3:8" ht="15.75">
      <c r="C1853" s="84"/>
      <c r="D1853" s="84"/>
      <c r="E1853" s="84"/>
      <c r="F1853" s="85"/>
      <c r="G1853" s="84"/>
      <c r="H1853" s="86"/>
    </row>
    <row r="1854" spans="3:8">
      <c r="C1854" s="5" t="s">
        <v>1</v>
      </c>
      <c r="D1854" s="6" t="s">
        <v>254</v>
      </c>
      <c r="E1854" s="6"/>
      <c r="F1854" s="7"/>
      <c r="G1854" s="8"/>
      <c r="H1854" s="9"/>
    </row>
    <row r="1855" spans="3:8">
      <c r="C1855" s="10" t="s">
        <v>3</v>
      </c>
      <c r="D1855" s="11" t="s">
        <v>255</v>
      </c>
      <c r="E1855" s="12"/>
      <c r="F1855" s="13" t="s">
        <v>5</v>
      </c>
      <c r="G1855" s="14" t="s">
        <v>106</v>
      </c>
      <c r="H1855" s="15">
        <v>34911.85</v>
      </c>
    </row>
    <row r="1856" spans="3:8">
      <c r="C1856" s="16" t="s">
        <v>7</v>
      </c>
      <c r="D1856" s="16" t="s">
        <v>8</v>
      </c>
      <c r="E1856" s="16" t="s">
        <v>9</v>
      </c>
      <c r="F1856" s="17" t="s">
        <v>10</v>
      </c>
      <c r="G1856" s="18" t="s">
        <v>11</v>
      </c>
      <c r="H1856" s="18" t="s">
        <v>12</v>
      </c>
    </row>
    <row r="1857" spans="3:8">
      <c r="C1857" s="16"/>
      <c r="D1857" s="16"/>
      <c r="E1857" s="16"/>
      <c r="F1857" s="17"/>
      <c r="G1857" s="19"/>
      <c r="H1857" s="19"/>
    </row>
    <row r="1858" spans="3:8">
      <c r="C1858" s="20" t="s">
        <v>13</v>
      </c>
      <c r="D1858" s="21" t="s">
        <v>14</v>
      </c>
      <c r="E1858" s="22"/>
      <c r="F1858" s="23"/>
      <c r="G1858" s="24"/>
      <c r="H1858" s="25"/>
    </row>
    <row r="1859" spans="3:8">
      <c r="C1859" s="22" t="s">
        <v>107</v>
      </c>
      <c r="D1859" s="54" t="s">
        <v>28</v>
      </c>
      <c r="E1859" s="22" t="s">
        <v>29</v>
      </c>
      <c r="F1859" s="43">
        <v>87.158545809390361</v>
      </c>
      <c r="G1859" s="29">
        <v>79.456006436582371</v>
      </c>
      <c r="H1859" s="30">
        <v>6925.2699768340799</v>
      </c>
    </row>
    <row r="1860" spans="3:8">
      <c r="C1860" s="22" t="s">
        <v>27</v>
      </c>
      <c r="D1860" s="48" t="s">
        <v>30</v>
      </c>
      <c r="E1860" s="22" t="s">
        <v>29</v>
      </c>
      <c r="F1860" s="43">
        <v>11.327850930586319</v>
      </c>
      <c r="G1860" s="29">
        <v>45.411750977784656</v>
      </c>
      <c r="H1860" s="30">
        <v>514.41754557325214</v>
      </c>
    </row>
    <row r="1861" spans="3:8">
      <c r="C1861" s="22" t="s">
        <v>107</v>
      </c>
      <c r="D1861" s="48" t="s">
        <v>256</v>
      </c>
      <c r="E1861" s="22" t="s">
        <v>29</v>
      </c>
      <c r="F1861" s="87">
        <v>27.351089188204501</v>
      </c>
      <c r="G1861" s="29">
        <v>89.242314887296516</v>
      </c>
      <c r="H1861" s="30">
        <v>2440.8745138442773</v>
      </c>
    </row>
    <row r="1862" spans="3:8">
      <c r="C1862" s="22" t="s">
        <v>27</v>
      </c>
      <c r="D1862" s="48" t="s">
        <v>138</v>
      </c>
      <c r="E1862" s="22" t="s">
        <v>29</v>
      </c>
      <c r="F1862" s="43">
        <v>79.289535963190417</v>
      </c>
      <c r="G1862" s="29">
        <v>74.717676591289091</v>
      </c>
      <c r="H1862" s="30">
        <v>5924.3299051710474</v>
      </c>
    </row>
    <row r="1863" spans="3:8">
      <c r="C1863" s="22" t="s">
        <v>107</v>
      </c>
      <c r="D1863" s="48" t="s">
        <v>180</v>
      </c>
      <c r="E1863" s="81" t="s">
        <v>29</v>
      </c>
      <c r="F1863" s="43">
        <v>21.407853602211123</v>
      </c>
      <c r="G1863" s="29">
        <v>72.442078740927272</v>
      </c>
      <c r="H1863" s="30">
        <v>1550.8294163256217</v>
      </c>
    </row>
    <row r="1864" spans="3:8">
      <c r="C1864" s="22" t="s">
        <v>107</v>
      </c>
      <c r="D1864" s="48" t="s">
        <v>110</v>
      </c>
      <c r="E1864" s="22" t="s">
        <v>29</v>
      </c>
      <c r="F1864" s="43">
        <v>2.0014028600174729</v>
      </c>
      <c r="G1864" s="29">
        <v>44.933633313323234</v>
      </c>
      <c r="H1864" s="30">
        <v>89.930302224261524</v>
      </c>
    </row>
    <row r="1865" spans="3:8">
      <c r="C1865" s="26"/>
      <c r="D1865" s="48"/>
      <c r="E1865" s="22"/>
      <c r="F1865" s="43"/>
      <c r="G1865" s="29">
        <v>0</v>
      </c>
      <c r="H1865" s="30">
        <v>0</v>
      </c>
    </row>
    <row r="1866" spans="3:8">
      <c r="C1866" s="26"/>
      <c r="D1866" s="48"/>
      <c r="E1866" s="22"/>
      <c r="F1866" s="57"/>
      <c r="G1866" s="29">
        <v>0</v>
      </c>
      <c r="H1866" s="30">
        <v>0</v>
      </c>
    </row>
    <row r="1867" spans="3:8">
      <c r="C1867" s="34" t="s">
        <v>15</v>
      </c>
      <c r="D1867" s="34"/>
      <c r="E1867" s="34"/>
      <c r="F1867" s="35"/>
      <c r="G1867" s="34"/>
      <c r="H1867" s="36">
        <v>17445.65165997254</v>
      </c>
    </row>
    <row r="1868" spans="3:8">
      <c r="C1868" s="37" t="s">
        <v>16</v>
      </c>
      <c r="D1868" s="38" t="s">
        <v>17</v>
      </c>
      <c r="E1868" s="39"/>
      <c r="F1868" s="40"/>
      <c r="G1868" s="41"/>
      <c r="H1868" s="41"/>
    </row>
    <row r="1869" spans="3:8">
      <c r="C1869" s="22" t="s">
        <v>31</v>
      </c>
      <c r="D1869" s="77" t="s">
        <v>114</v>
      </c>
      <c r="E1869" s="22" t="s">
        <v>6</v>
      </c>
      <c r="F1869" s="78">
        <v>0.48750000000000004</v>
      </c>
      <c r="G1869" s="30">
        <v>1744.5651659972541</v>
      </c>
      <c r="H1869" s="44">
        <v>850.47551842366147</v>
      </c>
    </row>
    <row r="1870" spans="3:8">
      <c r="C1870" s="22" t="s">
        <v>31</v>
      </c>
      <c r="D1870" s="58" t="s">
        <v>139</v>
      </c>
      <c r="E1870" s="22" t="s">
        <v>29</v>
      </c>
      <c r="F1870" s="23">
        <v>36.573537565536469</v>
      </c>
      <c r="G1870" s="30">
        <v>264.0623143694084</v>
      </c>
      <c r="H1870" s="44">
        <v>9657.692974232059</v>
      </c>
    </row>
    <row r="1871" spans="3:8">
      <c r="C1871" s="22"/>
      <c r="D1871" s="58"/>
      <c r="E1871" s="22"/>
      <c r="F1871" s="93"/>
      <c r="G1871" s="30">
        <v>0</v>
      </c>
      <c r="H1871" s="44">
        <v>0</v>
      </c>
    </row>
    <row r="1872" spans="3:8">
      <c r="C1872" s="22"/>
      <c r="D1872" s="58"/>
      <c r="E1872" s="22"/>
      <c r="F1872" s="23"/>
      <c r="G1872" s="30">
        <v>0</v>
      </c>
      <c r="H1872" s="44">
        <v>0</v>
      </c>
    </row>
    <row r="1873" spans="3:8">
      <c r="C1873" s="22"/>
      <c r="D1873" s="58"/>
      <c r="E1873" s="22"/>
      <c r="F1873" s="23"/>
      <c r="G1873" s="30">
        <v>0</v>
      </c>
      <c r="H1873" s="44">
        <v>0</v>
      </c>
    </row>
    <row r="1874" spans="3:8">
      <c r="C1874" s="22"/>
      <c r="D1874" s="58"/>
      <c r="E1874" s="22"/>
      <c r="F1874" s="23"/>
      <c r="G1874" s="30">
        <v>0</v>
      </c>
      <c r="H1874" s="44">
        <v>0</v>
      </c>
    </row>
    <row r="1875" spans="3:8">
      <c r="C1875" s="22"/>
      <c r="D1875" s="58"/>
      <c r="E1875" s="22"/>
      <c r="F1875" s="23"/>
      <c r="G1875" s="45">
        <v>0</v>
      </c>
      <c r="H1875" s="44">
        <v>0</v>
      </c>
    </row>
    <row r="1876" spans="3:8">
      <c r="C1876" s="22"/>
      <c r="D1876" s="27"/>
      <c r="E1876" s="22"/>
      <c r="F1876" s="32"/>
      <c r="G1876" s="30">
        <v>0</v>
      </c>
      <c r="H1876" s="44">
        <v>0</v>
      </c>
    </row>
    <row r="1877" spans="3:8">
      <c r="C1877" s="34" t="s">
        <v>18</v>
      </c>
      <c r="D1877" s="34"/>
      <c r="E1877" s="34"/>
      <c r="F1877" s="35"/>
      <c r="G1877" s="34"/>
      <c r="H1877" s="36">
        <v>10508.168492655721</v>
      </c>
    </row>
    <row r="1878" spans="3:8">
      <c r="C1878" s="37" t="s">
        <v>19</v>
      </c>
      <c r="D1878" s="38" t="s">
        <v>20</v>
      </c>
      <c r="E1878" s="39"/>
      <c r="F1878" s="46"/>
      <c r="G1878" s="47"/>
      <c r="H1878" s="47">
        <v>0</v>
      </c>
    </row>
    <row r="1879" spans="3:8">
      <c r="C1879" s="28" t="s">
        <v>55</v>
      </c>
      <c r="D1879" s="66" t="s">
        <v>182</v>
      </c>
      <c r="E1879" s="28" t="s">
        <v>6</v>
      </c>
      <c r="F1879" s="23">
        <v>1</v>
      </c>
      <c r="G1879" s="33">
        <v>57.421783657069497</v>
      </c>
      <c r="H1879" s="33">
        <v>57.421783657069497</v>
      </c>
    </row>
    <row r="1880" spans="3:8">
      <c r="C1880" s="28"/>
      <c r="D1880" s="48"/>
      <c r="E1880" s="28"/>
      <c r="F1880" s="23"/>
      <c r="G1880" s="33">
        <v>0</v>
      </c>
      <c r="H1880" s="33">
        <v>0</v>
      </c>
    </row>
    <row r="1881" spans="3:8">
      <c r="C1881" s="28"/>
      <c r="D1881" s="48"/>
      <c r="E1881" s="28"/>
      <c r="F1881" s="23"/>
      <c r="G1881" s="33">
        <v>0</v>
      </c>
      <c r="H1881" s="44">
        <v>0</v>
      </c>
    </row>
    <row r="1882" spans="3:8">
      <c r="C1882" s="28"/>
      <c r="D1882" s="48"/>
      <c r="E1882" s="28"/>
      <c r="F1882" s="23"/>
      <c r="G1882" s="33">
        <v>0</v>
      </c>
      <c r="H1882" s="44">
        <v>0</v>
      </c>
    </row>
    <row r="1883" spans="3:8">
      <c r="C1883" s="28"/>
      <c r="D1883" s="48"/>
      <c r="E1883" s="28"/>
      <c r="F1883" s="23"/>
      <c r="G1883" s="33">
        <v>0</v>
      </c>
      <c r="H1883" s="44">
        <v>0</v>
      </c>
    </row>
    <row r="1884" spans="3:8">
      <c r="C1884" s="28"/>
      <c r="D1884" s="48"/>
      <c r="E1884" s="28"/>
      <c r="F1884" s="23"/>
      <c r="G1884" s="33">
        <v>0</v>
      </c>
      <c r="H1884" s="44">
        <v>0</v>
      </c>
    </row>
    <row r="1885" spans="3:8">
      <c r="C1885" s="28"/>
      <c r="D1885" s="48"/>
      <c r="E1885" s="28"/>
      <c r="F1885" s="23"/>
      <c r="G1885" s="33">
        <v>0</v>
      </c>
      <c r="H1885" s="44">
        <v>0</v>
      </c>
    </row>
    <row r="1886" spans="3:8">
      <c r="C1886" s="28"/>
      <c r="D1886" s="48"/>
      <c r="E1886" s="28"/>
      <c r="F1886" s="23"/>
      <c r="G1886" s="33">
        <v>0</v>
      </c>
      <c r="H1886" s="44">
        <v>0</v>
      </c>
    </row>
    <row r="1887" spans="3:8">
      <c r="C1887" s="34" t="s">
        <v>21</v>
      </c>
      <c r="D1887" s="34"/>
      <c r="E1887" s="34"/>
      <c r="F1887" s="35"/>
      <c r="G1887" s="34"/>
      <c r="H1887" s="36">
        <v>57.421783657069497</v>
      </c>
    </row>
    <row r="1888" spans="3:8" ht="15.75">
      <c r="C1888" s="49" t="s">
        <v>22</v>
      </c>
      <c r="D1888" s="50"/>
      <c r="E1888" s="50"/>
      <c r="F1888" s="51"/>
      <c r="G1888" s="52"/>
      <c r="H1888" s="36">
        <v>28011.241936285332</v>
      </c>
    </row>
    <row r="1889" spans="3:8" ht="15.75">
      <c r="C1889" s="49" t="s">
        <v>23</v>
      </c>
      <c r="D1889" s="50"/>
      <c r="E1889" s="50"/>
      <c r="F1889" s="51"/>
      <c r="G1889" s="52"/>
      <c r="H1889" s="53">
        <v>6900.6095137842367</v>
      </c>
    </row>
    <row r="1890" spans="3:8" ht="15.75">
      <c r="C1890" s="49" t="s">
        <v>24</v>
      </c>
      <c r="D1890" s="50"/>
      <c r="E1890" s="50"/>
      <c r="F1890" s="51"/>
      <c r="G1890" s="52"/>
      <c r="H1890" s="36">
        <v>34911.85</v>
      </c>
    </row>
    <row r="1891" spans="3:8">
      <c r="C1891" s="4"/>
      <c r="D1891" s="4"/>
      <c r="E1891" s="4"/>
      <c r="F1891" s="4"/>
      <c r="G1891" s="4"/>
      <c r="H1891" s="4"/>
    </row>
    <row r="1892" spans="3:8">
      <c r="C1892" s="4"/>
      <c r="D1892" s="4"/>
      <c r="E1892" s="101"/>
      <c r="F1892" s="102"/>
      <c r="G1892" s="103"/>
      <c r="H1892" s="101"/>
    </row>
  </sheetData>
  <autoFilter ref="C1:H1" xr:uid="{48A11CDE-5271-44AF-90A7-67B9A1AA324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9BA3-88DD-4A96-8118-0E61678942F6}">
  <dimension ref="A1:AB330"/>
  <sheetViews>
    <sheetView zoomScale="70" zoomScaleNormal="70" workbookViewId="0">
      <selection activeCell="V329" sqref="V329"/>
    </sheetView>
  </sheetViews>
  <sheetFormatPr defaultRowHeight="15" outlineLevelRow="1"/>
  <cols>
    <col min="1" max="1" width="13.5703125" style="120" customWidth="1"/>
    <col min="2" max="2" width="99" style="120" customWidth="1"/>
    <col min="3" max="3" width="55.7109375" style="121" customWidth="1"/>
    <col min="4" max="4" width="25" style="123" customWidth="1"/>
    <col min="5" max="5" width="22.28515625" style="122" customWidth="1"/>
    <col min="6" max="6" width="18.140625" style="122" bestFit="1" customWidth="1"/>
    <col min="7" max="20" width="10" style="122" bestFit="1" customWidth="1"/>
    <col min="21" max="21" width="9.140625" style="122"/>
    <col min="22" max="22" width="19" style="122" customWidth="1"/>
    <col min="23" max="24" width="9.140625" style="120"/>
    <col min="25" max="25" width="13.85546875" style="120" bestFit="1" customWidth="1"/>
    <col min="26" max="26" width="19.28515625" style="120" bestFit="1" customWidth="1"/>
    <col min="27" max="27" width="20" style="120" bestFit="1" customWidth="1"/>
    <col min="28" max="28" width="19.5703125" style="120" bestFit="1" customWidth="1"/>
    <col min="29" max="16384" width="9.140625" style="120"/>
  </cols>
  <sheetData>
    <row r="1" spans="1:28">
      <c r="A1" s="194" t="s">
        <v>257</v>
      </c>
      <c r="B1" s="195"/>
      <c r="C1" s="195"/>
      <c r="D1" s="195"/>
      <c r="E1" s="196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8">
      <c r="A2" s="149"/>
      <c r="B2" s="149"/>
      <c r="C2" s="149"/>
      <c r="D2" s="150"/>
      <c r="E2" s="150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8" ht="18.75">
      <c r="A3" s="151"/>
      <c r="B3" s="131"/>
      <c r="C3" s="128"/>
      <c r="D3" s="130"/>
      <c r="E3" s="130"/>
      <c r="F3" s="152" t="s">
        <v>258</v>
      </c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30"/>
    </row>
    <row r="4" spans="1:28" s="116" customFormat="1" ht="18.75">
      <c r="A4" s="124" t="s">
        <v>259</v>
      </c>
      <c r="B4" s="125" t="s">
        <v>260</v>
      </c>
      <c r="C4" s="126" t="s">
        <v>261</v>
      </c>
      <c r="D4" s="127" t="s">
        <v>262</v>
      </c>
      <c r="E4" s="127" t="s">
        <v>263</v>
      </c>
      <c r="F4" s="192">
        <v>46113</v>
      </c>
      <c r="G4" s="192">
        <v>46143</v>
      </c>
      <c r="H4" s="192">
        <v>46174</v>
      </c>
      <c r="I4" s="192">
        <v>46204</v>
      </c>
      <c r="J4" s="192">
        <v>46235</v>
      </c>
      <c r="K4" s="192">
        <v>46266</v>
      </c>
      <c r="L4" s="192">
        <v>46296</v>
      </c>
      <c r="M4" s="192">
        <v>46327</v>
      </c>
      <c r="N4" s="192">
        <v>46357</v>
      </c>
      <c r="O4" s="192">
        <v>46388</v>
      </c>
      <c r="P4" s="192">
        <v>46419</v>
      </c>
      <c r="Q4" s="192">
        <v>46447</v>
      </c>
      <c r="R4" s="192">
        <v>46478</v>
      </c>
      <c r="S4" s="192">
        <v>46508</v>
      </c>
      <c r="T4" s="192">
        <v>46539</v>
      </c>
      <c r="U4" s="192">
        <v>46569</v>
      </c>
      <c r="V4" s="127" t="s">
        <v>264</v>
      </c>
      <c r="Y4" s="119" t="s">
        <v>259</v>
      </c>
      <c r="Z4" s="119"/>
    </row>
    <row r="5" spans="1:28" ht="15.75">
      <c r="A5" s="156" t="s">
        <v>4</v>
      </c>
      <c r="B5" s="157" t="s">
        <v>2</v>
      </c>
      <c r="C5" s="158"/>
      <c r="D5" s="159">
        <v>0</v>
      </c>
      <c r="E5" s="160">
        <f>D5-V5</f>
        <v>0</v>
      </c>
      <c r="F5" s="130"/>
      <c r="G5" s="130">
        <f>Controle!I5</f>
        <v>0</v>
      </c>
      <c r="H5" s="130">
        <f>Controle!J5</f>
        <v>0</v>
      </c>
      <c r="I5" s="130">
        <f>Controle!K5</f>
        <v>0</v>
      </c>
      <c r="J5" s="130">
        <f>Controle!L5</f>
        <v>0</v>
      </c>
      <c r="K5" s="130">
        <f>Controle!M5</f>
        <v>0</v>
      </c>
      <c r="L5" s="130">
        <f>Controle!N5</f>
        <v>0</v>
      </c>
      <c r="M5" s="130">
        <f>Controle!O5</f>
        <v>0</v>
      </c>
      <c r="N5" s="130">
        <f>Controle!P5</f>
        <v>0</v>
      </c>
      <c r="O5" s="130">
        <f>Controle!Q5</f>
        <v>0</v>
      </c>
      <c r="P5" s="130">
        <f>Controle!R5</f>
        <v>0</v>
      </c>
      <c r="Q5" s="130">
        <f>Controle!S5</f>
        <v>0</v>
      </c>
      <c r="R5" s="130">
        <f>Controle!T5</f>
        <v>0</v>
      </c>
      <c r="S5" s="130">
        <f>Controle!U5</f>
        <v>0</v>
      </c>
      <c r="T5" s="130">
        <f>Controle!V5</f>
        <v>0</v>
      </c>
      <c r="U5" s="130">
        <f>Controle!W5</f>
        <v>0</v>
      </c>
      <c r="V5" s="130">
        <f>SUM(F5:U5)</f>
        <v>0</v>
      </c>
      <c r="Y5" t="s">
        <v>298</v>
      </c>
      <c r="Z5" s="117" t="s">
        <v>299</v>
      </c>
      <c r="AA5" t="s">
        <v>296</v>
      </c>
      <c r="AB5" t="s">
        <v>297</v>
      </c>
    </row>
    <row r="6" spans="1:28" ht="15.75">
      <c r="A6" s="156" t="s">
        <v>26</v>
      </c>
      <c r="B6" s="157" t="s">
        <v>25</v>
      </c>
      <c r="C6" s="158"/>
      <c r="D6" s="161">
        <f>SUM(D7:D9)</f>
        <v>215111.35994674111</v>
      </c>
      <c r="E6" s="160">
        <f t="shared" ref="E6:E69" si="0">D6-V6</f>
        <v>215111.35994674111</v>
      </c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>
        <f t="shared" ref="V6:V69" si="1">SUM(F6:U6)</f>
        <v>0</v>
      </c>
      <c r="Y6" t="s">
        <v>266</v>
      </c>
      <c r="Z6" s="117" t="s">
        <v>266</v>
      </c>
      <c r="AA6" s="155">
        <f>SUM(D7+D12+D21+D26+D31+D35+D39+D43+D47+D52+D62+D72+D86+D103+D120+D136+D142+D148+D154+D160+D166+D172+D176+D180+D184+D188+D192+D199+D209+D219+D229+D239+D245+D251+D257+D263+D269+D275+D281+D288+D295+D302+D309+D316+D323+D329)</f>
        <v>6201141.8179418072</v>
      </c>
      <c r="AB6" s="155">
        <f>SUM(E7+E12+E21+E26+E31+E35+E39+E43+E47+E52+E62+E72+E86+E103+E120+E136+E142+E148+E154+E160+E166+E172+E176+E180+E184+E188+E192+E199+E209+E219+E229+E239+E245+E251+E257+E263+E269+E275+E281+E288+E295+E302+E309+E316+E323+E329)</f>
        <v>6201141.8179418072</v>
      </c>
    </row>
    <row r="7" spans="1:28" outlineLevel="1">
      <c r="A7" s="174"/>
      <c r="B7" s="175" t="s">
        <v>14</v>
      </c>
      <c r="C7" s="176" t="s">
        <v>266</v>
      </c>
      <c r="D7" s="177">
        <v>41206.359946741119</v>
      </c>
      <c r="E7" s="178">
        <f t="shared" si="0"/>
        <v>41206.359946741119</v>
      </c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>
        <f t="shared" si="1"/>
        <v>0</v>
      </c>
      <c r="Y7" t="s">
        <v>300</v>
      </c>
      <c r="Z7" s="117"/>
      <c r="AA7" s="155">
        <f>SUM(D8+D13+D22+D28+D32+D36+D40+D44+D48+D53+D63+D63+D73+D87+D104+D121+D137+D143+D149+D155+D161+D167+D173+D177+D181+D185+D189+D193+D200+D210+D220+D230+D240+D246+D252+D258+D264+D270+D276+D282+D289+D296+D303+D310+D317+D324)</f>
        <v>1752644.4795914798</v>
      </c>
      <c r="AB7" s="155">
        <f>SUM(E8+E13+E22+E28+E32+E36+E40+E44+E48+E53+E63+E63+E73+E87+E104+E121+E137+E143+E149+E155+E161+E167+E173+E177+E181+E185+E189+E193+E200+E210+E220+E230+E240+E246+E252+E258+E264+E270+E276+E282+E289+E296+E303+E310+E317+E324)</f>
        <v>1752644.4795914798</v>
      </c>
    </row>
    <row r="8" spans="1:28" ht="30" outlineLevel="1">
      <c r="A8" s="174"/>
      <c r="B8" s="175" t="s">
        <v>17</v>
      </c>
      <c r="C8" s="179" t="s">
        <v>32</v>
      </c>
      <c r="D8" s="177">
        <v>100000</v>
      </c>
      <c r="E8" s="178">
        <f t="shared" si="0"/>
        <v>100000</v>
      </c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>
        <f t="shared" si="1"/>
        <v>0</v>
      </c>
      <c r="Y8"/>
      <c r="Z8" s="117" t="s">
        <v>273</v>
      </c>
      <c r="AA8" s="155">
        <f>SUM(D23)</f>
        <v>1309000</v>
      </c>
      <c r="AB8" s="155">
        <f>SUM(E23)</f>
        <v>1309000</v>
      </c>
    </row>
    <row r="9" spans="1:28" outlineLevel="1">
      <c r="A9" s="174"/>
      <c r="B9" s="175" t="s">
        <v>20</v>
      </c>
      <c r="C9" s="176" t="s">
        <v>267</v>
      </c>
      <c r="D9" s="177">
        <v>73905</v>
      </c>
      <c r="E9" s="178">
        <f t="shared" si="0"/>
        <v>73905</v>
      </c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>
        <f t="shared" si="1"/>
        <v>0</v>
      </c>
      <c r="Y9"/>
      <c r="Z9" s="117" t="s">
        <v>294</v>
      </c>
      <c r="AA9" s="155">
        <f>SUM(D55+D65+D75+D89+D106+D123)</f>
        <v>677.456755520191</v>
      </c>
      <c r="AB9" s="155">
        <f>SUM(E55+E65+E75+E89+E106+E123)</f>
        <v>677.456755520191</v>
      </c>
    </row>
    <row r="10" spans="1:28" ht="15.75">
      <c r="A10" s="156" t="s">
        <v>40</v>
      </c>
      <c r="B10" s="157" t="s">
        <v>39</v>
      </c>
      <c r="C10" s="162"/>
      <c r="D10" s="159">
        <v>0</v>
      </c>
      <c r="E10" s="160">
        <f t="shared" si="0"/>
        <v>0</v>
      </c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>
        <f t="shared" si="1"/>
        <v>0</v>
      </c>
      <c r="Y10"/>
      <c r="Z10" s="117" t="s">
        <v>278</v>
      </c>
      <c r="AA10" s="155">
        <f>SUM(D54+D64+D74+D88+D105+D122+D201+D211+D221+D231+D326)</f>
        <v>15499.328549447378</v>
      </c>
      <c r="AB10" s="155">
        <f>SUM(E54+E64+E74+E88+E105+E122+E201+E211+E221+E231+E326)</f>
        <v>15499.328549447378</v>
      </c>
    </row>
    <row r="11" spans="1:28" ht="15.75">
      <c r="A11" s="156" t="s">
        <v>42</v>
      </c>
      <c r="B11" s="157" t="s">
        <v>41</v>
      </c>
      <c r="C11" s="158"/>
      <c r="D11" s="159">
        <f>SUM(D17,D13,D12)</f>
        <v>98626.542860008849</v>
      </c>
      <c r="E11" s="160">
        <f t="shared" si="0"/>
        <v>98626.542860008849</v>
      </c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>
        <f t="shared" si="1"/>
        <v>0</v>
      </c>
      <c r="Y11"/>
      <c r="Z11" s="117" t="s">
        <v>301</v>
      </c>
      <c r="AA11" s="155">
        <f>SUM(D36+D40+D44+D56+D66+D77+D78+D79+D91+D92+D93+D94+D108+D109+D110+D125+D111+D126+D127+D16)</f>
        <v>28252.64403306774</v>
      </c>
      <c r="AB11" s="155">
        <f>SUM(E36+E40+E44+E56+E66+E77+E78+E79+E91+E92+E93+E94+E108+E109+E110+E125+E111+E126+E127)</f>
        <v>3984.3440330677399</v>
      </c>
    </row>
    <row r="12" spans="1:28" outlineLevel="1">
      <c r="A12" s="180"/>
      <c r="B12" s="175" t="s">
        <v>14</v>
      </c>
      <c r="C12" s="176" t="s">
        <v>14</v>
      </c>
      <c r="D12" s="177">
        <v>5931.2395973586672</v>
      </c>
      <c r="E12" s="178">
        <f t="shared" si="0"/>
        <v>5931.2395973586672</v>
      </c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>
        <f t="shared" si="1"/>
        <v>0</v>
      </c>
      <c r="Y12"/>
      <c r="Z12" s="121" t="s">
        <v>305</v>
      </c>
      <c r="AA12" s="155">
        <f>SUM(D14)</f>
        <v>17677</v>
      </c>
      <c r="AB12" s="155">
        <f>SUM(E14)</f>
        <v>17677</v>
      </c>
    </row>
    <row r="13" spans="1:28" outlineLevel="1">
      <c r="A13" s="180"/>
      <c r="B13" s="175" t="s">
        <v>17</v>
      </c>
      <c r="C13" s="181" t="s">
        <v>17</v>
      </c>
      <c r="D13" s="177">
        <v>56745.303262650174</v>
      </c>
      <c r="E13" s="178">
        <f t="shared" si="0"/>
        <v>56745.303262650174</v>
      </c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>
        <f t="shared" si="1"/>
        <v>0</v>
      </c>
      <c r="Z13" s="121" t="s">
        <v>306</v>
      </c>
      <c r="AA13" s="122">
        <f>D24</f>
        <v>234500</v>
      </c>
      <c r="AB13" s="122">
        <f>E24</f>
        <v>234500</v>
      </c>
    </row>
    <row r="14" spans="1:28" ht="15.75" outlineLevel="1">
      <c r="A14" s="133"/>
      <c r="B14" s="132" t="s">
        <v>268</v>
      </c>
      <c r="C14" s="134" t="s">
        <v>269</v>
      </c>
      <c r="D14" s="135">
        <v>17677</v>
      </c>
      <c r="E14" s="130">
        <f t="shared" si="0"/>
        <v>17677</v>
      </c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>
        <f t="shared" si="1"/>
        <v>0</v>
      </c>
      <c r="Z14" s="117" t="s">
        <v>272</v>
      </c>
      <c r="AA14" s="122">
        <f>SUM(D15,D76,D90,D107,D124,D194,D202,D203,D212,D213,D222,D223,D232,D233,D283,D290,D297,D304,D311,D318,D325)</f>
        <v>14506.982984153001</v>
      </c>
      <c r="AB14" s="122">
        <f>SUM(E15,E76,E90,E107,E124,E194,E202,E203,E212,E213,E222,E223,E232,E233,E283,E290,E297,E304,E311,E318,E325)</f>
        <v>14506.982984153001</v>
      </c>
    </row>
    <row r="15" spans="1:28" ht="15.75" outlineLevel="1">
      <c r="A15" s="133"/>
      <c r="B15" s="132" t="s">
        <v>270</v>
      </c>
      <c r="C15" s="134" t="s">
        <v>52</v>
      </c>
      <c r="D15" s="135">
        <v>8850</v>
      </c>
      <c r="E15" s="130">
        <f t="shared" si="0"/>
        <v>8850</v>
      </c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>
        <f t="shared" si="1"/>
        <v>0</v>
      </c>
      <c r="Y15" t="s">
        <v>302</v>
      </c>
      <c r="Z15" s="117"/>
      <c r="AA15" s="155">
        <f>SUM(D17+D25+D29+D33+D37+D41+D45+D57+D67+D80+D95+D112+D128+D138+D144+D150+D156+D162+D168+D174+D178+D182+D186+D195+D190+D204+D214+D224+D234+D241+D247+D253+D259+D265+D271+D277+D284+D291+D298+D305+D312+D319+D327)</f>
        <v>88081.916031625718</v>
      </c>
      <c r="AB15" s="155">
        <f>SUM(E17+E25+E29+E33+E37+E41+E45+E57+E67+E80+E95+E112+E128+E138+E144+E150+E156+E162+E168+E174+E178+E182+E186+E195+E190+E204+E214+E224+E234+E241+E247+E253+E259+E265+E271+E277+E284+E291+E298+E305+E312+E319+E327)</f>
        <v>88081.916031625718</v>
      </c>
    </row>
    <row r="16" spans="1:28" ht="15.75" outlineLevel="1">
      <c r="A16" s="133"/>
      <c r="B16" s="132" t="s">
        <v>271</v>
      </c>
      <c r="C16" s="134" t="s">
        <v>54</v>
      </c>
      <c r="D16" s="135">
        <v>24268.3</v>
      </c>
      <c r="E16" s="130">
        <f t="shared" si="0"/>
        <v>24268.3</v>
      </c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>
        <f t="shared" si="1"/>
        <v>0</v>
      </c>
      <c r="Y16"/>
      <c r="Z16" s="117" t="s">
        <v>292</v>
      </c>
      <c r="AA16" s="155">
        <f>SUM(D325,D318,D311,D304,D297,D290,D283,D235,D232,D225,D222,D58,D68,D76,D81,D90,D96,D107,D113+D124,D129,D194,D202,D205,D212,D215)</f>
        <v>4784.1477797294065</v>
      </c>
      <c r="AB16" s="155">
        <f>SUM(E325,E318,E311,E304,E297,E290,E283,E235,E232,E225,E222,E58,E68,E76,E81,E90,E96,E107,E113+E124,E129,E194,E202,E205,E212,E215)</f>
        <v>4784.1477797294065</v>
      </c>
    </row>
    <row r="17" spans="1:28" outlineLevel="1">
      <c r="A17" s="180"/>
      <c r="B17" s="175" t="s">
        <v>20</v>
      </c>
      <c r="C17" s="181" t="s">
        <v>276</v>
      </c>
      <c r="D17" s="177">
        <v>35950</v>
      </c>
      <c r="E17" s="178">
        <f t="shared" si="0"/>
        <v>35950</v>
      </c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>
        <f t="shared" si="1"/>
        <v>0</v>
      </c>
      <c r="Y17"/>
      <c r="Z17" s="117" t="s">
        <v>281</v>
      </c>
      <c r="AA17" s="155">
        <f>SUM(D58,D68,D81,D83,D84,D96,D98,D99,D113,D115,D116,D129,D131,D132)</f>
        <v>2292</v>
      </c>
      <c r="AB17" s="155">
        <f>SUM(E58,E68,E81,E83,E84,E96,E98,E99,E113,E115,E116,E129,E131,E132)</f>
        <v>2292</v>
      </c>
    </row>
    <row r="18" spans="1:28" ht="15.75" outlineLevel="1">
      <c r="A18" s="133"/>
      <c r="B18" s="132" t="s">
        <v>272</v>
      </c>
      <c r="C18" s="128" t="s">
        <v>272</v>
      </c>
      <c r="D18" s="135">
        <v>35950</v>
      </c>
      <c r="E18" s="130">
        <f t="shared" si="0"/>
        <v>35950</v>
      </c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>
        <f t="shared" si="1"/>
        <v>0</v>
      </c>
      <c r="Y18"/>
      <c r="Z18" s="117" t="s">
        <v>303</v>
      </c>
      <c r="AA18" s="155">
        <f>SUM(D60,D70,D100,D117,D133,D139,D145,D151,D157,D163,D169,D196,D206,D216,D226,D236,D285,D292,D299,D306,D313,D320,D330)</f>
        <v>1860.5201857285497</v>
      </c>
      <c r="AB18" s="155">
        <f>SUM(E60,E70,E100,E117,E133,E139,E145,E151,E157,E163,E169,E196,E206,E216,E226,E236,E285,E292,E299,E306,E313,E320,E330)</f>
        <v>1860.5201857285497</v>
      </c>
    </row>
    <row r="19" spans="1:28" ht="15.75">
      <c r="A19" s="156" t="s">
        <v>94</v>
      </c>
      <c r="B19" s="157" t="s">
        <v>93</v>
      </c>
      <c r="C19" s="163" t="s">
        <v>265</v>
      </c>
      <c r="D19" s="159">
        <v>0</v>
      </c>
      <c r="E19" s="160">
        <f t="shared" si="0"/>
        <v>0</v>
      </c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>
        <f t="shared" si="1"/>
        <v>0</v>
      </c>
      <c r="Y19"/>
      <c r="Z19" s="117" t="s">
        <v>304</v>
      </c>
      <c r="AA19" s="155">
        <f>SUM(D101,D118,D134)</f>
        <v>329.88438337801608</v>
      </c>
      <c r="AB19" s="155">
        <f>SUM(E101,E118,E134)</f>
        <v>329.88438337801608</v>
      </c>
    </row>
    <row r="20" spans="1:28" ht="15.75">
      <c r="A20" s="156" t="s">
        <v>65</v>
      </c>
      <c r="B20" s="157" t="s">
        <v>64</v>
      </c>
      <c r="C20" s="158"/>
      <c r="D20" s="161" cm="1">
        <f t="array" ref="D20">SUM(D21:D22+D25)</f>
        <v>6352156.9005183475</v>
      </c>
      <c r="E20" s="160">
        <f t="shared" si="0"/>
        <v>6352156.9005183475</v>
      </c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>
        <f t="shared" si="1"/>
        <v>0</v>
      </c>
      <c r="Y20"/>
      <c r="Z20" s="117" t="s">
        <v>272</v>
      </c>
      <c r="AA20" s="122">
        <f>SUM(D18,D140,D146,D152,D158,D164,D170,D205,D207,D215,D217,D225,D227,D235,D237,D242:D243,D248:D249,D254:D255,D260:D261,D266:D267,D272:D273,D278:D279,D286,D293,D300,D307,D314,D321)</f>
        <v>82459.433226812384</v>
      </c>
      <c r="AB20" s="122">
        <f>SUM(E18,E140,E146,E152,E158,E164,E170,E205,E207,E215,E217,E225,E227,E235,E237,E242:E243,E248:E249,E254:E255,E260:E261,E266:E267,E272:E273,E278:E279,E286,E293,E300,E307,E314,E321)</f>
        <v>82459.433226812384</v>
      </c>
    </row>
    <row r="21" spans="1:28" outlineLevel="1">
      <c r="A21" s="180"/>
      <c r="B21" s="175" t="s">
        <v>14</v>
      </c>
      <c r="C21" s="175" t="s">
        <v>14</v>
      </c>
      <c r="D21" s="177">
        <v>4808656.9005183475</v>
      </c>
      <c r="E21" s="178">
        <f t="shared" si="0"/>
        <v>4808656.9005183475</v>
      </c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>
        <f t="shared" si="1"/>
        <v>0</v>
      </c>
    </row>
    <row r="22" spans="1:28" outlineLevel="1">
      <c r="A22" s="180"/>
      <c r="B22" s="175" t="s">
        <v>17</v>
      </c>
      <c r="C22" s="181" t="s">
        <v>17</v>
      </c>
      <c r="D22" s="177">
        <v>1543500</v>
      </c>
      <c r="E22" s="178">
        <f t="shared" si="0"/>
        <v>1543500</v>
      </c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>
        <f t="shared" si="1"/>
        <v>0</v>
      </c>
      <c r="Z22" s="120" t="s">
        <v>310</v>
      </c>
      <c r="AA22" s="122">
        <f>SUM(AA6:AA20)</f>
        <v>9753707.6114627477</v>
      </c>
      <c r="AB22" s="122">
        <f>SUM(AB6:AB20)</f>
        <v>9729439.3114627488</v>
      </c>
    </row>
    <row r="23" spans="1:28" outlineLevel="1">
      <c r="A23" s="133"/>
      <c r="B23" s="136" t="s">
        <v>273</v>
      </c>
      <c r="C23" s="128" t="s">
        <v>90</v>
      </c>
      <c r="D23" s="129">
        <v>1309000</v>
      </c>
      <c r="E23" s="130">
        <f t="shared" si="0"/>
        <v>1309000</v>
      </c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>
        <f t="shared" si="1"/>
        <v>0</v>
      </c>
    </row>
    <row r="24" spans="1:28" outlineLevel="1">
      <c r="A24" s="133"/>
      <c r="B24" s="136" t="s">
        <v>272</v>
      </c>
      <c r="C24" s="128" t="s">
        <v>274</v>
      </c>
      <c r="D24" s="137">
        <v>234500</v>
      </c>
      <c r="E24" s="130">
        <f t="shared" si="0"/>
        <v>234500</v>
      </c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>
        <f t="shared" si="1"/>
        <v>0</v>
      </c>
    </row>
    <row r="25" spans="1:28" outlineLevel="1">
      <c r="A25" s="180"/>
      <c r="B25" s="175" t="s">
        <v>20</v>
      </c>
      <c r="C25" s="181" t="s">
        <v>276</v>
      </c>
      <c r="D25" s="182">
        <v>0</v>
      </c>
      <c r="E25" s="178">
        <f t="shared" si="0"/>
        <v>0</v>
      </c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>
        <f t="shared" si="1"/>
        <v>0</v>
      </c>
    </row>
    <row r="26" spans="1:28" ht="15.75">
      <c r="A26" s="164" t="s">
        <v>96</v>
      </c>
      <c r="B26" s="165" t="s">
        <v>95</v>
      </c>
      <c r="C26" s="158"/>
      <c r="D26" s="159">
        <f>SUM(D27:D29)</f>
        <v>35500</v>
      </c>
      <c r="E26" s="160">
        <f t="shared" si="0"/>
        <v>35500</v>
      </c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>
        <f t="shared" si="1"/>
        <v>0</v>
      </c>
    </row>
    <row r="27" spans="1:28" outlineLevel="1">
      <c r="A27" s="183"/>
      <c r="B27" s="175" t="s">
        <v>14</v>
      </c>
      <c r="C27" s="181" t="s">
        <v>14</v>
      </c>
      <c r="D27" s="177">
        <v>10500</v>
      </c>
      <c r="E27" s="178">
        <f t="shared" si="0"/>
        <v>10500</v>
      </c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>
        <f t="shared" si="1"/>
        <v>0</v>
      </c>
    </row>
    <row r="28" spans="1:28" outlineLevel="1">
      <c r="A28" s="183"/>
      <c r="B28" s="175" t="s">
        <v>17</v>
      </c>
      <c r="C28" s="181" t="s">
        <v>275</v>
      </c>
      <c r="D28" s="177">
        <v>25000</v>
      </c>
      <c r="E28" s="178">
        <f t="shared" si="0"/>
        <v>25000</v>
      </c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>
        <f t="shared" si="1"/>
        <v>0</v>
      </c>
    </row>
    <row r="29" spans="1:28" outlineLevel="1">
      <c r="A29" s="183"/>
      <c r="B29" s="175" t="s">
        <v>20</v>
      </c>
      <c r="C29" s="181" t="s">
        <v>276</v>
      </c>
      <c r="D29" s="182">
        <v>0</v>
      </c>
      <c r="E29" s="178">
        <f t="shared" si="0"/>
        <v>0</v>
      </c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>
        <f t="shared" si="1"/>
        <v>0</v>
      </c>
    </row>
    <row r="30" spans="1:28" ht="31.5">
      <c r="A30" s="164" t="s">
        <v>101</v>
      </c>
      <c r="B30" s="165" t="s">
        <v>100</v>
      </c>
      <c r="C30" s="158"/>
      <c r="D30" s="159">
        <f>SUM(D31:D33)</f>
        <v>1965.625</v>
      </c>
      <c r="E30" s="160">
        <f t="shared" si="0"/>
        <v>1965.625</v>
      </c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>
        <f t="shared" si="1"/>
        <v>0</v>
      </c>
    </row>
    <row r="31" spans="1:28" outlineLevel="1">
      <c r="A31" s="183"/>
      <c r="B31" s="175" t="s">
        <v>14</v>
      </c>
      <c r="C31" s="175" t="s">
        <v>14</v>
      </c>
      <c r="D31" s="184">
        <v>1965.625</v>
      </c>
      <c r="E31" s="178">
        <f t="shared" si="0"/>
        <v>1965.625</v>
      </c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>
        <f t="shared" si="1"/>
        <v>0</v>
      </c>
    </row>
    <row r="32" spans="1:28" outlineLevel="1">
      <c r="A32" s="183"/>
      <c r="B32" s="175" t="s">
        <v>17</v>
      </c>
      <c r="C32" s="175" t="s">
        <v>17</v>
      </c>
      <c r="D32" s="182">
        <v>0</v>
      </c>
      <c r="E32" s="178">
        <f t="shared" si="0"/>
        <v>0</v>
      </c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>
        <f t="shared" si="1"/>
        <v>0</v>
      </c>
    </row>
    <row r="33" spans="1:22" outlineLevel="1">
      <c r="A33" s="183"/>
      <c r="B33" s="175" t="s">
        <v>20</v>
      </c>
      <c r="C33" s="175" t="s">
        <v>20</v>
      </c>
      <c r="D33" s="182">
        <v>0</v>
      </c>
      <c r="E33" s="178">
        <f t="shared" si="0"/>
        <v>0</v>
      </c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>
        <f t="shared" si="1"/>
        <v>0</v>
      </c>
    </row>
    <row r="34" spans="1:22" ht="15.75">
      <c r="A34" s="164" t="s">
        <v>105</v>
      </c>
      <c r="B34" s="166" t="s">
        <v>104</v>
      </c>
      <c r="C34" s="158"/>
      <c r="D34" s="159">
        <f>SUM(D35:D37)</f>
        <v>301.13340895864923</v>
      </c>
      <c r="E34" s="160">
        <f t="shared" si="0"/>
        <v>301.13340895864923</v>
      </c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>
        <f t="shared" si="1"/>
        <v>0</v>
      </c>
    </row>
    <row r="35" spans="1:22" outlineLevel="1">
      <c r="A35" s="183"/>
      <c r="B35" s="175" t="s">
        <v>14</v>
      </c>
      <c r="C35" s="175" t="s">
        <v>14</v>
      </c>
      <c r="D35" s="184">
        <v>173.0399052051863</v>
      </c>
      <c r="E35" s="178">
        <f t="shared" si="0"/>
        <v>173.0399052051863</v>
      </c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>
        <f t="shared" si="1"/>
        <v>0</v>
      </c>
    </row>
    <row r="36" spans="1:22" outlineLevel="1">
      <c r="A36" s="183"/>
      <c r="B36" s="175" t="s">
        <v>17</v>
      </c>
      <c r="C36" s="175" t="s">
        <v>271</v>
      </c>
      <c r="D36" s="184">
        <v>106.74458646121914</v>
      </c>
      <c r="E36" s="178">
        <f t="shared" si="0"/>
        <v>106.74458646121914</v>
      </c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>
        <f t="shared" si="1"/>
        <v>0</v>
      </c>
    </row>
    <row r="37" spans="1:22" outlineLevel="1">
      <c r="A37" s="183"/>
      <c r="B37" s="175" t="s">
        <v>20</v>
      </c>
      <c r="C37" s="175" t="s">
        <v>20</v>
      </c>
      <c r="D37" s="184">
        <v>21.348917292243829</v>
      </c>
      <c r="E37" s="178">
        <f t="shared" si="0"/>
        <v>21.348917292243829</v>
      </c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>
        <f t="shared" si="1"/>
        <v>0</v>
      </c>
    </row>
    <row r="38" spans="1:22" ht="31.5">
      <c r="A38" s="164" t="s">
        <v>119</v>
      </c>
      <c r="B38" s="157" t="s">
        <v>118</v>
      </c>
      <c r="C38" s="158"/>
      <c r="D38" s="159">
        <f>SUM(D39:D41)</f>
        <v>95.668888308361829</v>
      </c>
      <c r="E38" s="160">
        <f t="shared" si="0"/>
        <v>95.668888308361829</v>
      </c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>
        <f t="shared" si="1"/>
        <v>0</v>
      </c>
    </row>
    <row r="39" spans="1:22" outlineLevel="1">
      <c r="A39" s="183"/>
      <c r="B39" s="175" t="s">
        <v>14</v>
      </c>
      <c r="C39" s="175" t="s">
        <v>14</v>
      </c>
      <c r="D39" s="184">
        <v>53.973703763543284</v>
      </c>
      <c r="E39" s="178">
        <f t="shared" si="0"/>
        <v>53.973703763543284</v>
      </c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>
        <f t="shared" si="1"/>
        <v>0</v>
      </c>
    </row>
    <row r="40" spans="1:22" outlineLevel="1">
      <c r="A40" s="183"/>
      <c r="B40" s="175" t="s">
        <v>17</v>
      </c>
      <c r="C40" s="175" t="s">
        <v>271</v>
      </c>
      <c r="D40" s="184">
        <v>41.695184544818545</v>
      </c>
      <c r="E40" s="178">
        <f t="shared" si="0"/>
        <v>41.695184544818545</v>
      </c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>
        <f t="shared" si="1"/>
        <v>0</v>
      </c>
    </row>
    <row r="41" spans="1:22" outlineLevel="1">
      <c r="A41" s="183"/>
      <c r="B41" s="175" t="s">
        <v>20</v>
      </c>
      <c r="C41" s="175" t="s">
        <v>20</v>
      </c>
      <c r="D41" s="184">
        <v>0</v>
      </c>
      <c r="E41" s="178">
        <f t="shared" si="0"/>
        <v>0</v>
      </c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>
        <f t="shared" si="1"/>
        <v>0</v>
      </c>
    </row>
    <row r="42" spans="1:22" ht="47.25">
      <c r="A42" s="164" t="s">
        <v>123</v>
      </c>
      <c r="B42" s="166" t="s">
        <v>122</v>
      </c>
      <c r="C42" s="158"/>
      <c r="D42" s="159">
        <f>SUM(D43:D45)</f>
        <v>6.9909921548631511</v>
      </c>
      <c r="E42" s="160">
        <f t="shared" si="0"/>
        <v>6.9909921548631511</v>
      </c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>
        <f t="shared" si="1"/>
        <v>0</v>
      </c>
    </row>
    <row r="43" spans="1:22" outlineLevel="1">
      <c r="A43" s="183"/>
      <c r="B43" s="175" t="s">
        <v>14</v>
      </c>
      <c r="C43" s="175" t="s">
        <v>14</v>
      </c>
      <c r="D43" s="182">
        <v>0</v>
      </c>
      <c r="E43" s="178">
        <f t="shared" si="0"/>
        <v>0</v>
      </c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>
        <f t="shared" si="1"/>
        <v>0</v>
      </c>
    </row>
    <row r="44" spans="1:22" outlineLevel="1">
      <c r="A44" s="183"/>
      <c r="B44" s="175" t="s">
        <v>17</v>
      </c>
      <c r="C44" s="175" t="s">
        <v>271</v>
      </c>
      <c r="D44" s="184">
        <v>6.9909921548631511</v>
      </c>
      <c r="E44" s="178">
        <f t="shared" si="0"/>
        <v>6.9909921548631511</v>
      </c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>
        <f t="shared" si="1"/>
        <v>0</v>
      </c>
    </row>
    <row r="45" spans="1:22" outlineLevel="1">
      <c r="A45" s="183"/>
      <c r="B45" s="175" t="s">
        <v>20</v>
      </c>
      <c r="C45" s="175" t="s">
        <v>20</v>
      </c>
      <c r="D45" s="182">
        <v>0</v>
      </c>
      <c r="E45" s="178">
        <f t="shared" si="0"/>
        <v>0</v>
      </c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>
        <f t="shared" si="1"/>
        <v>0</v>
      </c>
    </row>
    <row r="46" spans="1:22" ht="15.75">
      <c r="A46" s="164" t="s">
        <v>129</v>
      </c>
      <c r="B46" s="167" t="s">
        <v>128</v>
      </c>
      <c r="C46" s="158"/>
      <c r="D46" s="159"/>
      <c r="E46" s="160">
        <f t="shared" si="0"/>
        <v>0</v>
      </c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>
        <f t="shared" si="1"/>
        <v>0</v>
      </c>
    </row>
    <row r="47" spans="1:22" outlineLevel="1">
      <c r="A47" s="183"/>
      <c r="B47" s="175" t="s">
        <v>14</v>
      </c>
      <c r="C47" s="181" t="s">
        <v>266</v>
      </c>
      <c r="D47" s="182">
        <v>326.24004321532306</v>
      </c>
      <c r="E47" s="178">
        <f t="shared" si="0"/>
        <v>326.24004321532306</v>
      </c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>
        <f t="shared" si="1"/>
        <v>0</v>
      </c>
    </row>
    <row r="48" spans="1:22" outlineLevel="1">
      <c r="A48" s="183"/>
      <c r="B48" s="175" t="s">
        <v>17</v>
      </c>
      <c r="C48" s="185" t="s">
        <v>114</v>
      </c>
      <c r="D48" s="182">
        <v>15.904202106747</v>
      </c>
      <c r="E48" s="178">
        <f t="shared" si="0"/>
        <v>15.904202106747</v>
      </c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>
        <f t="shared" si="1"/>
        <v>0</v>
      </c>
    </row>
    <row r="49" spans="1:22" outlineLevel="1">
      <c r="A49" s="183"/>
      <c r="B49" s="175" t="s">
        <v>20</v>
      </c>
      <c r="C49" s="181" t="s">
        <v>272</v>
      </c>
      <c r="D49" s="182">
        <v>765.00000000000011</v>
      </c>
      <c r="E49" s="178">
        <f t="shared" si="0"/>
        <v>765.00000000000011</v>
      </c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>
        <f t="shared" si="1"/>
        <v>0</v>
      </c>
    </row>
    <row r="50" spans="1:22" outlineLevel="1">
      <c r="A50" s="138"/>
      <c r="B50" s="132" t="s">
        <v>131</v>
      </c>
      <c r="C50" s="128" t="s">
        <v>277</v>
      </c>
      <c r="D50" s="129">
        <v>765.00000000000011</v>
      </c>
      <c r="E50" s="130">
        <f t="shared" si="0"/>
        <v>765.00000000000011</v>
      </c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>
        <f t="shared" si="1"/>
        <v>0</v>
      </c>
    </row>
    <row r="51" spans="1:22" ht="47.25">
      <c r="A51" s="166" t="s">
        <v>135</v>
      </c>
      <c r="B51" s="166" t="s">
        <v>134</v>
      </c>
      <c r="C51" s="158"/>
      <c r="D51" s="159">
        <f>SUM(D52:D53,D57)</f>
        <v>4875.8370265669419</v>
      </c>
      <c r="E51" s="160">
        <f t="shared" si="0"/>
        <v>4875.8370265669419</v>
      </c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>
        <f t="shared" si="1"/>
        <v>0</v>
      </c>
    </row>
    <row r="52" spans="1:22" outlineLevel="1">
      <c r="A52" s="186"/>
      <c r="B52" s="175" t="s">
        <v>14</v>
      </c>
      <c r="C52" s="181" t="s">
        <v>14</v>
      </c>
      <c r="D52" s="184">
        <v>2917.5299425500421</v>
      </c>
      <c r="E52" s="178">
        <f t="shared" si="0"/>
        <v>2917.5299425500421</v>
      </c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>
        <f t="shared" si="1"/>
        <v>0</v>
      </c>
    </row>
    <row r="53" spans="1:22" outlineLevel="1">
      <c r="A53" s="186"/>
      <c r="B53" s="175" t="s">
        <v>17</v>
      </c>
      <c r="C53" s="181" t="s">
        <v>17</v>
      </c>
      <c r="D53" s="184">
        <v>1202.9705583667396</v>
      </c>
      <c r="E53" s="178">
        <f t="shared" si="0"/>
        <v>1202.9705583667396</v>
      </c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>
        <f t="shared" si="1"/>
        <v>0</v>
      </c>
    </row>
    <row r="54" spans="1:22" outlineLevel="1">
      <c r="A54" s="139"/>
      <c r="B54" s="140" t="s">
        <v>139</v>
      </c>
      <c r="C54" s="128" t="s">
        <v>278</v>
      </c>
      <c r="D54" s="118">
        <v>409.89820940630801</v>
      </c>
      <c r="E54" s="130">
        <f t="shared" si="0"/>
        <v>409.89820940630801</v>
      </c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>
        <f t="shared" si="1"/>
        <v>0</v>
      </c>
    </row>
    <row r="55" spans="1:22" outlineLevel="1">
      <c r="A55" s="139"/>
      <c r="B55" s="140" t="s">
        <v>140</v>
      </c>
      <c r="C55" s="128" t="s">
        <v>279</v>
      </c>
      <c r="D55" s="118">
        <v>95.305351104038181</v>
      </c>
      <c r="E55" s="130">
        <f t="shared" si="0"/>
        <v>95.305351104038181</v>
      </c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>
        <f t="shared" si="1"/>
        <v>0</v>
      </c>
    </row>
    <row r="56" spans="1:22" ht="15.75" outlineLevel="1">
      <c r="A56" s="139"/>
      <c r="B56" s="141" t="s">
        <v>271</v>
      </c>
      <c r="C56" s="141" t="s">
        <v>271</v>
      </c>
      <c r="D56" s="142">
        <v>697.77</v>
      </c>
      <c r="E56" s="130">
        <f t="shared" si="0"/>
        <v>697.77</v>
      </c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>
        <f t="shared" si="1"/>
        <v>0</v>
      </c>
    </row>
    <row r="57" spans="1:22" outlineLevel="1">
      <c r="A57" s="186"/>
      <c r="B57" s="175" t="s">
        <v>20</v>
      </c>
      <c r="C57" s="181" t="s">
        <v>276</v>
      </c>
      <c r="D57" s="184">
        <v>755.33652565016041</v>
      </c>
      <c r="E57" s="178">
        <f t="shared" si="0"/>
        <v>755.33652565016041</v>
      </c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>
        <f t="shared" si="1"/>
        <v>0</v>
      </c>
    </row>
    <row r="58" spans="1:22" ht="15.75" outlineLevel="1">
      <c r="A58" s="139"/>
      <c r="B58" s="132" t="s">
        <v>280</v>
      </c>
      <c r="C58" s="128" t="s">
        <v>281</v>
      </c>
      <c r="D58" s="142">
        <v>382</v>
      </c>
      <c r="E58" s="130">
        <f t="shared" si="0"/>
        <v>382</v>
      </c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>
        <f t="shared" si="1"/>
        <v>0</v>
      </c>
    </row>
    <row r="59" spans="1:22" ht="15.75" outlineLevel="1">
      <c r="A59" s="139"/>
      <c r="B59" s="132" t="s">
        <v>282</v>
      </c>
      <c r="C59" s="128" t="s">
        <v>283</v>
      </c>
      <c r="D59" s="142">
        <v>219.96</v>
      </c>
      <c r="E59" s="130">
        <f t="shared" si="0"/>
        <v>219.96</v>
      </c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>
        <f t="shared" si="1"/>
        <v>0</v>
      </c>
    </row>
    <row r="60" spans="1:22" outlineLevel="1">
      <c r="A60" s="139"/>
      <c r="B60" s="132" t="s">
        <v>150</v>
      </c>
      <c r="C60" s="128" t="s">
        <v>287</v>
      </c>
      <c r="D60" s="118">
        <v>153.37506452415499</v>
      </c>
      <c r="E60" s="130">
        <f t="shared" si="0"/>
        <v>153.37506452415499</v>
      </c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>
        <f t="shared" si="1"/>
        <v>0</v>
      </c>
    </row>
    <row r="61" spans="1:22" ht="78.75">
      <c r="A61" s="166" t="s">
        <v>161</v>
      </c>
      <c r="B61" s="168" t="s">
        <v>311</v>
      </c>
      <c r="C61" s="158"/>
      <c r="D61" s="159">
        <f>SUM(D62:D63,D67)</f>
        <v>5255.2809751536033</v>
      </c>
      <c r="E61" s="160">
        <f t="shared" si="0"/>
        <v>5255.2809751536033</v>
      </c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>
        <f t="shared" si="1"/>
        <v>0</v>
      </c>
    </row>
    <row r="62" spans="1:22" outlineLevel="1">
      <c r="A62" s="186"/>
      <c r="B62" s="175" t="s">
        <v>14</v>
      </c>
      <c r="C62" s="181" t="s">
        <v>266</v>
      </c>
      <c r="D62" s="184">
        <v>3119.8657225292054</v>
      </c>
      <c r="E62" s="178">
        <f t="shared" si="0"/>
        <v>3119.8657225292054</v>
      </c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>
        <f t="shared" si="1"/>
        <v>0</v>
      </c>
    </row>
    <row r="63" spans="1:22" outlineLevel="1">
      <c r="A63" s="186"/>
      <c r="B63" s="175" t="s">
        <v>17</v>
      </c>
      <c r="C63" s="181" t="s">
        <v>17</v>
      </c>
      <c r="D63" s="184">
        <v>1490.0401881002422</v>
      </c>
      <c r="E63" s="178">
        <f t="shared" si="0"/>
        <v>1490.0401881002422</v>
      </c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>
        <f t="shared" si="1"/>
        <v>0</v>
      </c>
    </row>
    <row r="64" spans="1:22" outlineLevel="1">
      <c r="A64" s="139"/>
      <c r="B64" s="140" t="s">
        <v>139</v>
      </c>
      <c r="C64" s="128" t="s">
        <v>278</v>
      </c>
      <c r="D64" s="118">
        <v>376.32611646456689</v>
      </c>
      <c r="E64" s="130">
        <f t="shared" si="0"/>
        <v>376.32611646456689</v>
      </c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>
        <f t="shared" si="1"/>
        <v>0</v>
      </c>
    </row>
    <row r="65" spans="1:24" outlineLevel="1">
      <c r="A65" s="139"/>
      <c r="B65" s="140" t="s">
        <v>140</v>
      </c>
      <c r="C65" s="128" t="s">
        <v>279</v>
      </c>
      <c r="D65" s="129">
        <v>200.93</v>
      </c>
      <c r="E65" s="130">
        <f t="shared" si="0"/>
        <v>200.93</v>
      </c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>
        <f t="shared" si="1"/>
        <v>0</v>
      </c>
    </row>
    <row r="66" spans="1:24" outlineLevel="1">
      <c r="A66" s="139"/>
      <c r="B66" s="132" t="s">
        <v>284</v>
      </c>
      <c r="C66" s="128" t="s">
        <v>271</v>
      </c>
      <c r="D66" s="129">
        <v>912.78</v>
      </c>
      <c r="E66" s="130">
        <f t="shared" si="0"/>
        <v>912.78</v>
      </c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>
        <f t="shared" si="1"/>
        <v>0</v>
      </c>
    </row>
    <row r="67" spans="1:24" outlineLevel="1">
      <c r="A67" s="186"/>
      <c r="B67" s="175" t="s">
        <v>20</v>
      </c>
      <c r="C67" s="181" t="s">
        <v>276</v>
      </c>
      <c r="D67" s="184">
        <v>645.37506452415505</v>
      </c>
      <c r="E67" s="178">
        <f t="shared" si="0"/>
        <v>645.37506452415505</v>
      </c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>
        <f t="shared" si="1"/>
        <v>0</v>
      </c>
    </row>
    <row r="68" spans="1:24" outlineLevel="1">
      <c r="A68" s="139"/>
      <c r="B68" s="132" t="s">
        <v>280</v>
      </c>
      <c r="C68" s="128" t="s">
        <v>281</v>
      </c>
      <c r="D68" s="129">
        <v>382</v>
      </c>
      <c r="E68" s="130">
        <f t="shared" si="0"/>
        <v>382</v>
      </c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>
        <f t="shared" si="1"/>
        <v>0</v>
      </c>
    </row>
    <row r="69" spans="1:24" outlineLevel="1">
      <c r="A69" s="139"/>
      <c r="B69" s="132" t="s">
        <v>282</v>
      </c>
      <c r="C69" s="128" t="s">
        <v>283</v>
      </c>
      <c r="D69" s="118">
        <v>110</v>
      </c>
      <c r="E69" s="130">
        <f t="shared" si="0"/>
        <v>110</v>
      </c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>
        <f t="shared" si="1"/>
        <v>0</v>
      </c>
    </row>
    <row r="70" spans="1:24" outlineLevel="1">
      <c r="A70" s="139"/>
      <c r="B70" s="132" t="s">
        <v>150</v>
      </c>
      <c r="C70" s="128" t="s">
        <v>287</v>
      </c>
      <c r="D70" s="118">
        <v>153.37506452415499</v>
      </c>
      <c r="E70" s="130">
        <f t="shared" ref="E70:E133" si="2">D70-V70</f>
        <v>153.37506452415499</v>
      </c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>
        <f t="shared" ref="V70:V133" si="3">SUM(F70:U70)</f>
        <v>0</v>
      </c>
    </row>
    <row r="71" spans="1:24" ht="78.75">
      <c r="A71" s="166" t="s">
        <v>165</v>
      </c>
      <c r="B71" s="166" t="s">
        <v>164</v>
      </c>
      <c r="C71" s="158"/>
      <c r="D71" s="159">
        <f>SUM(D72+D73+D80)</f>
        <v>2292.5837391293185</v>
      </c>
      <c r="E71" s="160">
        <f t="shared" si="2"/>
        <v>2292.5837391293185</v>
      </c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>
        <f t="shared" si="3"/>
        <v>0</v>
      </c>
      <c r="W71" s="148"/>
      <c r="X71" s="148"/>
    </row>
    <row r="72" spans="1:24" outlineLevel="1">
      <c r="A72" s="187"/>
      <c r="B72" s="175" t="s">
        <v>14</v>
      </c>
      <c r="C72" s="188" t="s">
        <v>293</v>
      </c>
      <c r="D72" s="184">
        <v>1080.5598599023369</v>
      </c>
      <c r="E72" s="178">
        <f t="shared" si="2"/>
        <v>1080.5598599023369</v>
      </c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>
        <f t="shared" si="3"/>
        <v>0</v>
      </c>
      <c r="W72" s="148"/>
      <c r="X72" s="148"/>
    </row>
    <row r="73" spans="1:24" outlineLevel="1">
      <c r="A73" s="187"/>
      <c r="B73" s="175" t="s">
        <v>17</v>
      </c>
      <c r="C73" s="188" t="s">
        <v>17</v>
      </c>
      <c r="D73" s="189">
        <f>SUM(D74:D79)</f>
        <v>720.02387922698142</v>
      </c>
      <c r="E73" s="178">
        <f t="shared" si="2"/>
        <v>720.02387922698142</v>
      </c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>
        <f t="shared" si="3"/>
        <v>0</v>
      </c>
      <c r="W73" s="148"/>
      <c r="X73" s="148"/>
    </row>
    <row r="74" spans="1:24" outlineLevel="1">
      <c r="A74" s="131"/>
      <c r="B74" s="140" t="s">
        <v>139</v>
      </c>
      <c r="C74" s="141" t="s">
        <v>278</v>
      </c>
      <c r="D74" s="118">
        <v>136.63273646876888</v>
      </c>
      <c r="E74" s="130">
        <f t="shared" si="2"/>
        <v>136.63273646876888</v>
      </c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>
        <f t="shared" si="3"/>
        <v>0</v>
      </c>
      <c r="W74" s="148"/>
      <c r="X74" s="148"/>
    </row>
    <row r="75" spans="1:24" outlineLevel="1">
      <c r="A75" s="131"/>
      <c r="B75" s="140" t="s">
        <v>140</v>
      </c>
      <c r="C75" s="141" t="s">
        <v>279</v>
      </c>
      <c r="D75" s="118">
        <v>95.305351104038181</v>
      </c>
      <c r="E75" s="130">
        <f t="shared" si="2"/>
        <v>95.305351104038181</v>
      </c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>
        <f t="shared" si="3"/>
        <v>0</v>
      </c>
      <c r="W75" s="148"/>
      <c r="X75" s="148"/>
    </row>
    <row r="76" spans="1:24" outlineLevel="1">
      <c r="A76" s="131"/>
      <c r="B76" s="140" t="s">
        <v>114</v>
      </c>
      <c r="C76" s="141" t="s">
        <v>272</v>
      </c>
      <c r="D76" s="118">
        <v>26.338646585119466</v>
      </c>
      <c r="E76" s="130">
        <f t="shared" si="2"/>
        <v>26.338646585119466</v>
      </c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>
        <f t="shared" si="3"/>
        <v>0</v>
      </c>
      <c r="W76" s="148"/>
      <c r="X76" s="148"/>
    </row>
    <row r="77" spans="1:24" outlineLevel="1">
      <c r="A77" s="131"/>
      <c r="B77" s="143" t="s">
        <v>142</v>
      </c>
      <c r="C77" s="141" t="s">
        <v>271</v>
      </c>
      <c r="D77" s="153">
        <v>169.19489840292084</v>
      </c>
      <c r="E77" s="130">
        <f t="shared" si="2"/>
        <v>169.19489840292084</v>
      </c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>
        <f t="shared" si="3"/>
        <v>0</v>
      </c>
      <c r="W77" s="148"/>
      <c r="X77" s="148"/>
    </row>
    <row r="78" spans="1:24" outlineLevel="1">
      <c r="A78" s="131"/>
      <c r="B78" s="144" t="s">
        <v>143</v>
      </c>
      <c r="C78" s="141" t="s">
        <v>271</v>
      </c>
      <c r="D78" s="118">
        <v>146.27612333306703</v>
      </c>
      <c r="E78" s="130">
        <f t="shared" si="2"/>
        <v>146.27612333306703</v>
      </c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>
        <f t="shared" si="3"/>
        <v>0</v>
      </c>
      <c r="W78" s="148"/>
      <c r="X78" s="148"/>
    </row>
    <row r="79" spans="1:24" outlineLevel="1">
      <c r="A79" s="131"/>
      <c r="B79" s="132" t="s">
        <v>144</v>
      </c>
      <c r="C79" s="141" t="s">
        <v>271</v>
      </c>
      <c r="D79" s="118">
        <v>146.27612333306703</v>
      </c>
      <c r="E79" s="130">
        <f t="shared" si="2"/>
        <v>146.27612333306703</v>
      </c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>
        <f t="shared" si="3"/>
        <v>0</v>
      </c>
      <c r="W79" s="148"/>
      <c r="X79" s="148"/>
    </row>
    <row r="80" spans="1:24" outlineLevel="1">
      <c r="A80" s="187"/>
      <c r="B80" s="175" t="s">
        <v>20</v>
      </c>
      <c r="C80" s="188" t="s">
        <v>20</v>
      </c>
      <c r="D80" s="184">
        <f>SUM(D81:D84)</f>
        <v>492</v>
      </c>
      <c r="E80" s="178">
        <f t="shared" si="2"/>
        <v>492</v>
      </c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>
        <f t="shared" si="3"/>
        <v>0</v>
      </c>
      <c r="W80" s="148"/>
      <c r="X80" s="148"/>
    </row>
    <row r="81" spans="1:24" outlineLevel="1">
      <c r="A81" s="131"/>
      <c r="B81" s="132" t="s">
        <v>145</v>
      </c>
      <c r="C81" s="141" t="s">
        <v>292</v>
      </c>
      <c r="D81" s="118">
        <v>32.5</v>
      </c>
      <c r="E81" s="130">
        <f t="shared" si="2"/>
        <v>32.5</v>
      </c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>
        <f t="shared" si="3"/>
        <v>0</v>
      </c>
      <c r="W81" s="148"/>
      <c r="X81" s="148"/>
    </row>
    <row r="82" spans="1:24" outlineLevel="1">
      <c r="A82" s="131"/>
      <c r="B82" s="132" t="s">
        <v>146</v>
      </c>
      <c r="C82" s="141" t="s">
        <v>283</v>
      </c>
      <c r="D82" s="118">
        <v>110</v>
      </c>
      <c r="E82" s="130">
        <f t="shared" si="2"/>
        <v>110</v>
      </c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>
        <f t="shared" si="3"/>
        <v>0</v>
      </c>
      <c r="W82" s="148"/>
      <c r="X82" s="148"/>
    </row>
    <row r="83" spans="1:24" outlineLevel="1">
      <c r="A83" s="131"/>
      <c r="B83" s="132" t="s">
        <v>147</v>
      </c>
      <c r="C83" s="141" t="s">
        <v>290</v>
      </c>
      <c r="D83" s="118">
        <v>142.5</v>
      </c>
      <c r="E83" s="130">
        <f t="shared" si="2"/>
        <v>142.5</v>
      </c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>
        <f t="shared" si="3"/>
        <v>0</v>
      </c>
      <c r="W83" s="148"/>
      <c r="X83" s="148"/>
    </row>
    <row r="84" spans="1:24" outlineLevel="1">
      <c r="A84" s="131"/>
      <c r="B84" s="132" t="s">
        <v>148</v>
      </c>
      <c r="C84" s="141" t="s">
        <v>290</v>
      </c>
      <c r="D84" s="118">
        <v>206.99999999999997</v>
      </c>
      <c r="E84" s="130">
        <f t="shared" si="2"/>
        <v>206.99999999999997</v>
      </c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>
        <f t="shared" si="3"/>
        <v>0</v>
      </c>
      <c r="W84" s="148"/>
      <c r="X84" s="148"/>
    </row>
    <row r="85" spans="1:24" ht="63">
      <c r="A85" s="169" t="s">
        <v>168</v>
      </c>
      <c r="B85" s="165" t="s">
        <v>167</v>
      </c>
      <c r="C85" s="158"/>
      <c r="D85" s="159">
        <f>SUM(D86+D87+D95)</f>
        <v>4902.7732110326124</v>
      </c>
      <c r="E85" s="160">
        <f t="shared" si="2"/>
        <v>4902.7732110326124</v>
      </c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>
        <f t="shared" si="3"/>
        <v>0</v>
      </c>
      <c r="W85" s="148"/>
      <c r="X85" s="148"/>
    </row>
    <row r="86" spans="1:24" outlineLevel="1">
      <c r="A86" s="190"/>
      <c r="B86" s="175" t="s">
        <v>14</v>
      </c>
      <c r="C86" s="188" t="s">
        <v>293</v>
      </c>
      <c r="D86" s="184">
        <v>3063.6055848538799</v>
      </c>
      <c r="E86" s="178">
        <f t="shared" si="2"/>
        <v>3063.6055848538799</v>
      </c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>
        <f t="shared" si="3"/>
        <v>0</v>
      </c>
      <c r="W86" s="148"/>
      <c r="X86" s="148"/>
    </row>
    <row r="87" spans="1:24" outlineLevel="1">
      <c r="A87" s="190"/>
      <c r="B87" s="175" t="s">
        <v>17</v>
      </c>
      <c r="C87" s="188" t="s">
        <v>17</v>
      </c>
      <c r="D87" s="189">
        <f>SUM(D88:D94)</f>
        <v>1206.5311521478957</v>
      </c>
      <c r="E87" s="178">
        <f t="shared" si="2"/>
        <v>1206.5311521478957</v>
      </c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>
        <f t="shared" si="3"/>
        <v>0</v>
      </c>
      <c r="W87" s="148"/>
      <c r="X87" s="148"/>
    </row>
    <row r="88" spans="1:24" outlineLevel="1">
      <c r="A88" s="145"/>
      <c r="B88" s="140" t="s">
        <v>139</v>
      </c>
      <c r="C88" s="141" t="s">
        <v>278</v>
      </c>
      <c r="D88" s="118">
        <v>409.89820940630756</v>
      </c>
      <c r="E88" s="130">
        <f t="shared" si="2"/>
        <v>409.89820940630756</v>
      </c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>
        <f t="shared" si="3"/>
        <v>0</v>
      </c>
      <c r="W88" s="148"/>
      <c r="X88" s="148"/>
    </row>
    <row r="89" spans="1:24" outlineLevel="1">
      <c r="A89" s="145"/>
      <c r="B89" s="140" t="s">
        <v>140</v>
      </c>
      <c r="C89" s="141" t="s">
        <v>279</v>
      </c>
      <c r="D89" s="118">
        <v>95.305351104038181</v>
      </c>
      <c r="E89" s="130">
        <f t="shared" si="2"/>
        <v>95.305351104038181</v>
      </c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>
        <f t="shared" si="3"/>
        <v>0</v>
      </c>
      <c r="W89" s="148"/>
      <c r="X89" s="148"/>
    </row>
    <row r="90" spans="1:24" outlineLevel="1">
      <c r="A90" s="145"/>
      <c r="B90" s="140" t="s">
        <v>114</v>
      </c>
      <c r="C90" s="141" t="s">
        <v>272</v>
      </c>
      <c r="D90" s="118">
        <v>74.675386130813337</v>
      </c>
      <c r="E90" s="130">
        <f t="shared" si="2"/>
        <v>74.675386130813337</v>
      </c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>
        <f t="shared" si="3"/>
        <v>0</v>
      </c>
      <c r="W90" s="148"/>
      <c r="X90" s="148"/>
    </row>
    <row r="91" spans="1:24" outlineLevel="1">
      <c r="A91" s="145"/>
      <c r="B91" s="144" t="s">
        <v>141</v>
      </c>
      <c r="C91" s="141" t="s">
        <v>271</v>
      </c>
      <c r="D91" s="118">
        <v>210.7594671581769</v>
      </c>
      <c r="E91" s="130">
        <f t="shared" si="2"/>
        <v>210.7594671581769</v>
      </c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>
        <f t="shared" si="3"/>
        <v>0</v>
      </c>
      <c r="W91" s="148"/>
      <c r="X91" s="148"/>
    </row>
    <row r="92" spans="1:24" outlineLevel="1">
      <c r="A92" s="145"/>
      <c r="B92" s="144" t="s">
        <v>142</v>
      </c>
      <c r="C92" s="141" t="s">
        <v>271</v>
      </c>
      <c r="D92" s="118">
        <v>123.34049168242571</v>
      </c>
      <c r="E92" s="130">
        <f t="shared" si="2"/>
        <v>123.34049168242571</v>
      </c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>
        <f t="shared" si="3"/>
        <v>0</v>
      </c>
      <c r="W92" s="148"/>
      <c r="X92" s="148"/>
    </row>
    <row r="93" spans="1:24" outlineLevel="1">
      <c r="A93" s="145"/>
      <c r="B93" s="144" t="s">
        <v>143</v>
      </c>
      <c r="C93" s="141" t="s">
        <v>271</v>
      </c>
      <c r="D93" s="118">
        <v>146.27612333306703</v>
      </c>
      <c r="E93" s="130">
        <f t="shared" si="2"/>
        <v>146.27612333306703</v>
      </c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>
        <f t="shared" si="3"/>
        <v>0</v>
      </c>
      <c r="W93" s="148"/>
      <c r="X93" s="148"/>
    </row>
    <row r="94" spans="1:24" outlineLevel="1">
      <c r="A94" s="145"/>
      <c r="B94" s="132" t="s">
        <v>144</v>
      </c>
      <c r="C94" s="141" t="s">
        <v>271</v>
      </c>
      <c r="D94" s="118">
        <v>146.27612333306703</v>
      </c>
      <c r="E94" s="130">
        <f t="shared" si="2"/>
        <v>146.27612333306703</v>
      </c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>
        <f t="shared" si="3"/>
        <v>0</v>
      </c>
      <c r="W94" s="148"/>
      <c r="X94" s="148"/>
    </row>
    <row r="95" spans="1:24" outlineLevel="1">
      <c r="A95" s="190"/>
      <c r="B95" s="175" t="s">
        <v>20</v>
      </c>
      <c r="C95" s="188" t="s">
        <v>20</v>
      </c>
      <c r="D95" s="184">
        <f>SUM(D96:D101)</f>
        <v>632.63647403083644</v>
      </c>
      <c r="E95" s="178">
        <f t="shared" si="2"/>
        <v>632.63647403083644</v>
      </c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>
        <f t="shared" si="3"/>
        <v>0</v>
      </c>
      <c r="W95" s="148"/>
      <c r="X95" s="148"/>
    </row>
    <row r="96" spans="1:24" outlineLevel="1">
      <c r="A96" s="145"/>
      <c r="B96" s="132" t="s">
        <v>145</v>
      </c>
      <c r="C96" s="141" t="s">
        <v>292</v>
      </c>
      <c r="D96" s="118">
        <v>32.5</v>
      </c>
      <c r="E96" s="130">
        <f t="shared" si="2"/>
        <v>32.5</v>
      </c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>
        <f t="shared" si="3"/>
        <v>0</v>
      </c>
      <c r="W96" s="148"/>
      <c r="X96" s="148"/>
    </row>
    <row r="97" spans="1:24" outlineLevel="1">
      <c r="A97" s="145"/>
      <c r="B97" s="132" t="s">
        <v>146</v>
      </c>
      <c r="C97" s="141" t="s">
        <v>283</v>
      </c>
      <c r="D97" s="118">
        <v>110</v>
      </c>
      <c r="E97" s="130">
        <f t="shared" si="2"/>
        <v>110</v>
      </c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>
        <f t="shared" si="3"/>
        <v>0</v>
      </c>
      <c r="W97" s="148"/>
      <c r="X97" s="148"/>
    </row>
    <row r="98" spans="1:24" outlineLevel="1">
      <c r="A98" s="145"/>
      <c r="B98" s="132" t="s">
        <v>147</v>
      </c>
      <c r="C98" s="141" t="s">
        <v>290</v>
      </c>
      <c r="D98" s="118">
        <v>142.5</v>
      </c>
      <c r="E98" s="130">
        <f t="shared" si="2"/>
        <v>142.5</v>
      </c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>
        <f t="shared" si="3"/>
        <v>0</v>
      </c>
      <c r="W98" s="148"/>
      <c r="X98" s="148"/>
    </row>
    <row r="99" spans="1:24" outlineLevel="1">
      <c r="A99" s="145"/>
      <c r="B99" s="132" t="s">
        <v>148</v>
      </c>
      <c r="C99" s="141" t="s">
        <v>290</v>
      </c>
      <c r="D99" s="118">
        <v>206.99999999999997</v>
      </c>
      <c r="E99" s="130">
        <f t="shared" si="2"/>
        <v>206.99999999999997</v>
      </c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>
        <f t="shared" si="3"/>
        <v>0</v>
      </c>
      <c r="W99" s="148"/>
      <c r="X99" s="148"/>
    </row>
    <row r="100" spans="1:24" outlineLevel="1">
      <c r="A100" s="145"/>
      <c r="B100" s="132" t="s">
        <v>150</v>
      </c>
      <c r="C100" s="128" t="s">
        <v>287</v>
      </c>
      <c r="D100" s="118">
        <v>30.6750129048311</v>
      </c>
      <c r="E100" s="130">
        <f t="shared" si="2"/>
        <v>30.6750129048311</v>
      </c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>
        <f t="shared" si="3"/>
        <v>0</v>
      </c>
      <c r="W100" s="148"/>
      <c r="X100" s="148"/>
    </row>
    <row r="101" spans="1:24" outlineLevel="1">
      <c r="A101" s="131"/>
      <c r="B101" s="132" t="s">
        <v>151</v>
      </c>
      <c r="C101" s="146" t="s">
        <v>291</v>
      </c>
      <c r="D101" s="118">
        <v>109.96146112600536</v>
      </c>
      <c r="E101" s="130">
        <f t="shared" si="2"/>
        <v>109.96146112600536</v>
      </c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>
        <f t="shared" si="3"/>
        <v>0</v>
      </c>
      <c r="W101" s="148"/>
      <c r="X101" s="148"/>
    </row>
    <row r="102" spans="1:24" ht="47.25">
      <c r="A102" s="169" t="s">
        <v>172</v>
      </c>
      <c r="B102" s="165" t="s">
        <v>171</v>
      </c>
      <c r="C102" s="158"/>
      <c r="D102" s="159">
        <f>SUM(D103+D104+D112)</f>
        <v>4902.7732110326124</v>
      </c>
      <c r="E102" s="160">
        <f t="shared" si="2"/>
        <v>4902.7732110326124</v>
      </c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>
        <f t="shared" si="3"/>
        <v>0</v>
      </c>
      <c r="W102" s="148"/>
      <c r="X102" s="148"/>
    </row>
    <row r="103" spans="1:24" outlineLevel="1">
      <c r="A103" s="190"/>
      <c r="B103" s="175" t="s">
        <v>14</v>
      </c>
      <c r="C103" s="181" t="s">
        <v>285</v>
      </c>
      <c r="D103" s="184">
        <v>3063.6055848538799</v>
      </c>
      <c r="E103" s="178">
        <f t="shared" si="2"/>
        <v>3063.6055848538799</v>
      </c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>
        <f t="shared" si="3"/>
        <v>0</v>
      </c>
      <c r="W103" s="148"/>
      <c r="X103" s="148"/>
    </row>
    <row r="104" spans="1:24" outlineLevel="1">
      <c r="A104" s="187"/>
      <c r="B104" s="175" t="s">
        <v>17</v>
      </c>
      <c r="C104" s="181" t="s">
        <v>286</v>
      </c>
      <c r="D104" s="182">
        <f>SUM(D105:D111)</f>
        <v>1206.5311521478957</v>
      </c>
      <c r="E104" s="178">
        <f t="shared" si="2"/>
        <v>1206.5311521478957</v>
      </c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>
        <f t="shared" si="3"/>
        <v>0</v>
      </c>
      <c r="W104" s="148"/>
      <c r="X104" s="148"/>
    </row>
    <row r="105" spans="1:24" outlineLevel="1">
      <c r="A105" s="145"/>
      <c r="B105" s="140" t="s">
        <v>139</v>
      </c>
      <c r="C105" s="128" t="s">
        <v>278</v>
      </c>
      <c r="D105" s="118">
        <v>409.89820940630756</v>
      </c>
      <c r="E105" s="130">
        <f t="shared" si="2"/>
        <v>409.89820940630756</v>
      </c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>
        <f t="shared" si="3"/>
        <v>0</v>
      </c>
      <c r="W105" s="148"/>
      <c r="X105" s="148"/>
    </row>
    <row r="106" spans="1:24" outlineLevel="1">
      <c r="A106" s="145"/>
      <c r="B106" s="140" t="s">
        <v>140</v>
      </c>
      <c r="C106" s="128" t="s">
        <v>279</v>
      </c>
      <c r="D106" s="118">
        <v>95.305351104038181</v>
      </c>
      <c r="E106" s="130">
        <f t="shared" si="2"/>
        <v>95.305351104038181</v>
      </c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>
        <f t="shared" si="3"/>
        <v>0</v>
      </c>
      <c r="W106" s="148"/>
      <c r="X106" s="148"/>
    </row>
    <row r="107" spans="1:24" outlineLevel="1">
      <c r="A107" s="145"/>
      <c r="B107" s="140" t="s">
        <v>114</v>
      </c>
      <c r="C107" s="128" t="s">
        <v>272</v>
      </c>
      <c r="D107" s="118">
        <v>74.675386130813337</v>
      </c>
      <c r="E107" s="130">
        <f t="shared" si="2"/>
        <v>74.675386130813337</v>
      </c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>
        <f t="shared" si="3"/>
        <v>0</v>
      </c>
      <c r="W107" s="148"/>
      <c r="X107" s="148"/>
    </row>
    <row r="108" spans="1:24" outlineLevel="1">
      <c r="A108" s="145"/>
      <c r="B108" s="144" t="s">
        <v>141</v>
      </c>
      <c r="C108" s="128" t="s">
        <v>271</v>
      </c>
      <c r="D108" s="118">
        <v>210.7594671581769</v>
      </c>
      <c r="E108" s="130">
        <f t="shared" si="2"/>
        <v>210.7594671581769</v>
      </c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>
        <f t="shared" si="3"/>
        <v>0</v>
      </c>
      <c r="W108" s="148"/>
      <c r="X108" s="148"/>
    </row>
    <row r="109" spans="1:24" outlineLevel="1">
      <c r="A109" s="145"/>
      <c r="B109" s="144" t="s">
        <v>142</v>
      </c>
      <c r="C109" s="128" t="s">
        <v>271</v>
      </c>
      <c r="D109" s="118">
        <v>123.34049168242571</v>
      </c>
      <c r="E109" s="130">
        <f t="shared" si="2"/>
        <v>123.34049168242571</v>
      </c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>
        <f t="shared" si="3"/>
        <v>0</v>
      </c>
      <c r="W109" s="148"/>
      <c r="X109" s="148"/>
    </row>
    <row r="110" spans="1:24" outlineLevel="1">
      <c r="A110" s="145"/>
      <c r="B110" s="144" t="s">
        <v>143</v>
      </c>
      <c r="C110" s="128" t="s">
        <v>271</v>
      </c>
      <c r="D110" s="118">
        <v>146.27612333306703</v>
      </c>
      <c r="E110" s="130">
        <f t="shared" si="2"/>
        <v>146.27612333306703</v>
      </c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>
        <f t="shared" si="3"/>
        <v>0</v>
      </c>
      <c r="W110" s="148"/>
      <c r="X110" s="148"/>
    </row>
    <row r="111" spans="1:24" outlineLevel="1">
      <c r="A111" s="145"/>
      <c r="B111" s="132" t="s">
        <v>144</v>
      </c>
      <c r="C111" s="128" t="s">
        <v>271</v>
      </c>
      <c r="D111" s="118">
        <v>146.27612333306703</v>
      </c>
      <c r="E111" s="130">
        <f t="shared" si="2"/>
        <v>146.27612333306703</v>
      </c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>
        <f t="shared" si="3"/>
        <v>0</v>
      </c>
      <c r="W111" s="148"/>
      <c r="X111" s="148"/>
    </row>
    <row r="112" spans="1:24" outlineLevel="1">
      <c r="A112" s="190"/>
      <c r="B112" s="175" t="s">
        <v>20</v>
      </c>
      <c r="C112" s="181" t="s">
        <v>20</v>
      </c>
      <c r="D112" s="182">
        <f>SUM(D113:D118)</f>
        <v>632.63647403083644</v>
      </c>
      <c r="E112" s="178">
        <f t="shared" si="2"/>
        <v>632.63647403083644</v>
      </c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>
        <f t="shared" si="3"/>
        <v>0</v>
      </c>
      <c r="W112" s="148"/>
      <c r="X112" s="148"/>
    </row>
    <row r="113" spans="1:24" outlineLevel="1">
      <c r="A113" s="145"/>
      <c r="B113" s="132" t="s">
        <v>145</v>
      </c>
      <c r="C113" s="128" t="s">
        <v>292</v>
      </c>
      <c r="D113" s="118">
        <v>32.5</v>
      </c>
      <c r="E113" s="130">
        <f t="shared" si="2"/>
        <v>32.5</v>
      </c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>
        <f t="shared" si="3"/>
        <v>0</v>
      </c>
      <c r="W113" s="148"/>
      <c r="X113" s="148"/>
    </row>
    <row r="114" spans="1:24" outlineLevel="1">
      <c r="A114" s="145"/>
      <c r="B114" s="132" t="s">
        <v>146</v>
      </c>
      <c r="C114" s="128" t="s">
        <v>283</v>
      </c>
      <c r="D114" s="118">
        <v>110</v>
      </c>
      <c r="E114" s="130">
        <f t="shared" si="2"/>
        <v>110</v>
      </c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>
        <f t="shared" si="3"/>
        <v>0</v>
      </c>
      <c r="W114" s="148"/>
      <c r="X114" s="148"/>
    </row>
    <row r="115" spans="1:24" outlineLevel="1">
      <c r="A115" s="145"/>
      <c r="B115" s="132" t="s">
        <v>147</v>
      </c>
      <c r="C115" s="128" t="s">
        <v>281</v>
      </c>
      <c r="D115" s="118">
        <v>142.5</v>
      </c>
      <c r="E115" s="130">
        <f t="shared" si="2"/>
        <v>142.5</v>
      </c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>
        <f t="shared" si="3"/>
        <v>0</v>
      </c>
      <c r="W115" s="148"/>
      <c r="X115" s="148"/>
    </row>
    <row r="116" spans="1:24" outlineLevel="1">
      <c r="A116" s="145"/>
      <c r="B116" s="132" t="s">
        <v>148</v>
      </c>
      <c r="C116" s="128" t="s">
        <v>281</v>
      </c>
      <c r="D116" s="118">
        <v>206.99999999999997</v>
      </c>
      <c r="E116" s="130">
        <f t="shared" si="2"/>
        <v>206.99999999999997</v>
      </c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>
        <f t="shared" si="3"/>
        <v>0</v>
      </c>
      <c r="W116" s="148"/>
      <c r="X116" s="148"/>
    </row>
    <row r="117" spans="1:24" outlineLevel="1">
      <c r="A117" s="145"/>
      <c r="B117" s="132" t="s">
        <v>150</v>
      </c>
      <c r="C117" s="128" t="s">
        <v>287</v>
      </c>
      <c r="D117" s="118">
        <v>30.6750129048311</v>
      </c>
      <c r="E117" s="130">
        <f t="shared" si="2"/>
        <v>30.6750129048311</v>
      </c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>
        <f t="shared" si="3"/>
        <v>0</v>
      </c>
      <c r="W117" s="148"/>
      <c r="X117" s="148"/>
    </row>
    <row r="118" spans="1:24" outlineLevel="1">
      <c r="A118" s="145"/>
      <c r="B118" s="132" t="s">
        <v>151</v>
      </c>
      <c r="C118" s="128" t="s">
        <v>291</v>
      </c>
      <c r="D118" s="118">
        <v>109.96146112600536</v>
      </c>
      <c r="E118" s="130">
        <f t="shared" si="2"/>
        <v>109.96146112600536</v>
      </c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>
        <f t="shared" si="3"/>
        <v>0</v>
      </c>
      <c r="W118" s="148"/>
      <c r="X118" s="148"/>
    </row>
    <row r="119" spans="1:24" ht="47.25">
      <c r="A119" s="169" t="s">
        <v>174</v>
      </c>
      <c r="B119" s="165" t="s">
        <v>173</v>
      </c>
      <c r="C119" s="158"/>
      <c r="D119" s="159">
        <f>SUM(D120+D121+D128)</f>
        <v>7546.5421897857268</v>
      </c>
      <c r="E119" s="160">
        <f t="shared" si="2"/>
        <v>7546.5421897857268</v>
      </c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>
        <f t="shared" si="3"/>
        <v>0</v>
      </c>
      <c r="W119" s="148"/>
      <c r="X119" s="148"/>
    </row>
    <row r="120" spans="1:24" outlineLevel="1">
      <c r="A120" s="190"/>
      <c r="B120" s="175" t="s">
        <v>14</v>
      </c>
      <c r="C120" s="181" t="s">
        <v>285</v>
      </c>
      <c r="D120" s="184">
        <v>5764.8716938818634</v>
      </c>
      <c r="E120" s="178">
        <f t="shared" si="2"/>
        <v>5764.8716938818634</v>
      </c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>
        <f t="shared" si="3"/>
        <v>0</v>
      </c>
      <c r="W120" s="148"/>
      <c r="X120" s="148"/>
    </row>
    <row r="121" spans="1:24" outlineLevel="1">
      <c r="A121" s="187"/>
      <c r="B121" s="175" t="s">
        <v>17</v>
      </c>
      <c r="C121" s="181" t="s">
        <v>286</v>
      </c>
      <c r="D121" s="189">
        <f>SUM(D122:D127)</f>
        <v>1149.0340218730271</v>
      </c>
      <c r="E121" s="178">
        <f t="shared" si="2"/>
        <v>1149.0340218730271</v>
      </c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>
        <f t="shared" si="3"/>
        <v>0</v>
      </c>
      <c r="W121" s="148"/>
      <c r="X121" s="148"/>
    </row>
    <row r="122" spans="1:24" outlineLevel="1">
      <c r="A122" s="145"/>
      <c r="B122" s="140" t="s">
        <v>139</v>
      </c>
      <c r="C122" s="128" t="s">
        <v>278</v>
      </c>
      <c r="D122" s="118">
        <v>409.89820940630756</v>
      </c>
      <c r="E122" s="130">
        <f t="shared" si="2"/>
        <v>409.89820940630756</v>
      </c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>
        <f t="shared" si="3"/>
        <v>0</v>
      </c>
      <c r="W122" s="148"/>
      <c r="X122" s="148"/>
    </row>
    <row r="123" spans="1:24" outlineLevel="1">
      <c r="A123" s="145"/>
      <c r="B123" s="140" t="s">
        <v>140</v>
      </c>
      <c r="C123" s="128" t="s">
        <v>279</v>
      </c>
      <c r="D123" s="118">
        <v>95.305351104038181</v>
      </c>
      <c r="E123" s="130">
        <f t="shared" si="2"/>
        <v>95.305351104038181</v>
      </c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>
        <f t="shared" si="3"/>
        <v>0</v>
      </c>
      <c r="W123" s="148"/>
      <c r="X123" s="148"/>
    </row>
    <row r="124" spans="1:24" outlineLevel="1">
      <c r="A124" s="145"/>
      <c r="B124" s="140" t="s">
        <v>114</v>
      </c>
      <c r="C124" s="128" t="s">
        <v>272</v>
      </c>
      <c r="D124" s="118">
        <v>140.51874753837043</v>
      </c>
      <c r="E124" s="130">
        <f t="shared" si="2"/>
        <v>140.51874753837043</v>
      </c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>
        <f t="shared" si="3"/>
        <v>0</v>
      </c>
      <c r="W124" s="148"/>
      <c r="X124" s="148"/>
    </row>
    <row r="125" spans="1:24" outlineLevel="1">
      <c r="A125" s="145"/>
      <c r="B125" s="144" t="s">
        <v>141</v>
      </c>
      <c r="C125" s="128" t="s">
        <v>271</v>
      </c>
      <c r="D125" s="118">
        <v>210.7594671581769</v>
      </c>
      <c r="E125" s="130">
        <f t="shared" si="2"/>
        <v>210.7594671581769</v>
      </c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>
        <f t="shared" si="3"/>
        <v>0</v>
      </c>
      <c r="W125" s="148"/>
      <c r="X125" s="148"/>
    </row>
    <row r="126" spans="1:24" outlineLevel="1">
      <c r="A126" s="145"/>
      <c r="B126" s="144" t="s">
        <v>143</v>
      </c>
      <c r="C126" s="128" t="s">
        <v>271</v>
      </c>
      <c r="D126" s="118">
        <v>146.27612333306703</v>
      </c>
      <c r="E126" s="130">
        <f t="shared" si="2"/>
        <v>146.27612333306703</v>
      </c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>
        <f t="shared" si="3"/>
        <v>0</v>
      </c>
      <c r="W126" s="148"/>
      <c r="X126" s="148"/>
    </row>
    <row r="127" spans="1:24" outlineLevel="1">
      <c r="A127" s="145"/>
      <c r="B127" s="132" t="s">
        <v>144</v>
      </c>
      <c r="C127" s="128" t="s">
        <v>271</v>
      </c>
      <c r="D127" s="118">
        <v>146.27612333306703</v>
      </c>
      <c r="E127" s="130">
        <f t="shared" si="2"/>
        <v>146.27612333306703</v>
      </c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>
        <f t="shared" si="3"/>
        <v>0</v>
      </c>
      <c r="W127" s="148"/>
      <c r="X127" s="148"/>
    </row>
    <row r="128" spans="1:24" outlineLevel="1">
      <c r="A128" s="190"/>
      <c r="B128" s="175" t="s">
        <v>20</v>
      </c>
      <c r="C128" s="181" t="s">
        <v>20</v>
      </c>
      <c r="D128" s="184">
        <f>SUM(D129:D134)</f>
        <v>632.63647403083644</v>
      </c>
      <c r="E128" s="178">
        <f t="shared" si="2"/>
        <v>632.63647403083644</v>
      </c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>
        <f t="shared" si="3"/>
        <v>0</v>
      </c>
      <c r="W128" s="148"/>
      <c r="X128" s="148"/>
    </row>
    <row r="129" spans="1:24" outlineLevel="1">
      <c r="A129" s="145"/>
      <c r="B129" s="132" t="s">
        <v>145</v>
      </c>
      <c r="C129" s="128" t="s">
        <v>292</v>
      </c>
      <c r="D129" s="118">
        <v>32.5</v>
      </c>
      <c r="E129" s="130">
        <f t="shared" si="2"/>
        <v>32.5</v>
      </c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>
        <f t="shared" si="3"/>
        <v>0</v>
      </c>
      <c r="W129" s="148"/>
      <c r="X129" s="148"/>
    </row>
    <row r="130" spans="1:24" outlineLevel="1">
      <c r="A130" s="145"/>
      <c r="B130" s="132" t="s">
        <v>146</v>
      </c>
      <c r="C130" s="128" t="s">
        <v>283</v>
      </c>
      <c r="D130" s="118">
        <v>110</v>
      </c>
      <c r="E130" s="130">
        <f t="shared" si="2"/>
        <v>110</v>
      </c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>
        <f t="shared" si="3"/>
        <v>0</v>
      </c>
      <c r="W130" s="148"/>
      <c r="X130" s="148"/>
    </row>
    <row r="131" spans="1:24" outlineLevel="1">
      <c r="A131" s="145"/>
      <c r="B131" s="132" t="s">
        <v>147</v>
      </c>
      <c r="C131" s="128" t="s">
        <v>281</v>
      </c>
      <c r="D131" s="118">
        <v>142.5</v>
      </c>
      <c r="E131" s="130">
        <f t="shared" si="2"/>
        <v>142.5</v>
      </c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>
        <f t="shared" si="3"/>
        <v>0</v>
      </c>
      <c r="W131" s="148"/>
      <c r="X131" s="148"/>
    </row>
    <row r="132" spans="1:24" outlineLevel="1">
      <c r="A132" s="145"/>
      <c r="B132" s="132" t="s">
        <v>148</v>
      </c>
      <c r="C132" s="128" t="s">
        <v>281</v>
      </c>
      <c r="D132" s="118">
        <v>206.99999999999997</v>
      </c>
      <c r="E132" s="130">
        <f t="shared" si="2"/>
        <v>206.99999999999997</v>
      </c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>
        <f t="shared" si="3"/>
        <v>0</v>
      </c>
      <c r="W132" s="148"/>
      <c r="X132" s="148"/>
    </row>
    <row r="133" spans="1:24" outlineLevel="1">
      <c r="A133" s="145"/>
      <c r="B133" s="132" t="s">
        <v>150</v>
      </c>
      <c r="C133" s="128" t="s">
        <v>287</v>
      </c>
      <c r="D133" s="118">
        <v>30.6750129048311</v>
      </c>
      <c r="E133" s="130">
        <f t="shared" si="2"/>
        <v>30.6750129048311</v>
      </c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>
        <f t="shared" si="3"/>
        <v>0</v>
      </c>
      <c r="W133" s="148"/>
      <c r="X133" s="148"/>
    </row>
    <row r="134" spans="1:24" outlineLevel="1">
      <c r="A134" s="145"/>
      <c r="B134" s="132" t="s">
        <v>151</v>
      </c>
      <c r="C134" s="128" t="s">
        <v>291</v>
      </c>
      <c r="D134" s="118">
        <v>109.96146112600536</v>
      </c>
      <c r="E134" s="130">
        <f t="shared" ref="E134:E197" si="4">D134-V134</f>
        <v>109.96146112600536</v>
      </c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>
        <f t="shared" ref="V134:V197" si="5">SUM(F134:U134)</f>
        <v>0</v>
      </c>
      <c r="W134" s="148"/>
      <c r="X134" s="148"/>
    </row>
    <row r="135" spans="1:24" ht="15.75">
      <c r="A135" s="169" t="s">
        <v>176</v>
      </c>
      <c r="B135" s="165" t="s">
        <v>175</v>
      </c>
      <c r="C135" s="158"/>
      <c r="D135" s="159">
        <f>D136+D137+D138</f>
        <v>438.55915114690441</v>
      </c>
      <c r="E135" s="160">
        <f t="shared" si="4"/>
        <v>438.55915114690441</v>
      </c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>
        <f t="shared" si="5"/>
        <v>0</v>
      </c>
      <c r="W135" s="148"/>
      <c r="X135" s="148"/>
    </row>
    <row r="136" spans="1:24" outlineLevel="1">
      <c r="A136" s="190"/>
      <c r="B136" s="175" t="s">
        <v>14</v>
      </c>
      <c r="C136" s="181" t="s">
        <v>285</v>
      </c>
      <c r="D136" s="184">
        <v>290.05068774726374</v>
      </c>
      <c r="E136" s="178">
        <f t="shared" si="4"/>
        <v>290.05068774726374</v>
      </c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>
        <f t="shared" si="5"/>
        <v>0</v>
      </c>
      <c r="W136" s="148"/>
      <c r="X136" s="148"/>
    </row>
    <row r="137" spans="1:24" outlineLevel="1">
      <c r="A137" s="187"/>
      <c r="B137" s="175" t="s">
        <v>17</v>
      </c>
      <c r="C137" s="181" t="s">
        <v>286</v>
      </c>
      <c r="D137" s="184">
        <v>9.8979797193753782</v>
      </c>
      <c r="E137" s="178">
        <f t="shared" si="4"/>
        <v>9.8979797193753782</v>
      </c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>
        <f t="shared" si="5"/>
        <v>0</v>
      </c>
      <c r="W137" s="148"/>
      <c r="X137" s="148"/>
    </row>
    <row r="138" spans="1:24" outlineLevel="1">
      <c r="A138" s="190"/>
      <c r="B138" s="175" t="s">
        <v>20</v>
      </c>
      <c r="C138" s="181" t="s">
        <v>276</v>
      </c>
      <c r="D138" s="184">
        <f>D139+D140</f>
        <v>138.6104836802653</v>
      </c>
      <c r="E138" s="178">
        <f t="shared" si="4"/>
        <v>138.6104836802653</v>
      </c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>
        <f t="shared" si="5"/>
        <v>0</v>
      </c>
      <c r="W138" s="148"/>
      <c r="X138" s="148"/>
    </row>
    <row r="139" spans="1:24" outlineLevel="1">
      <c r="A139" s="145"/>
      <c r="B139" s="132" t="s">
        <v>182</v>
      </c>
      <c r="C139" s="128" t="s">
        <v>287</v>
      </c>
      <c r="D139" s="118">
        <v>74.382045711606693</v>
      </c>
      <c r="E139" s="130">
        <f t="shared" si="4"/>
        <v>74.382045711606693</v>
      </c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>
        <f t="shared" si="5"/>
        <v>0</v>
      </c>
      <c r="W139" s="148"/>
      <c r="X139" s="148"/>
    </row>
    <row r="140" spans="1:24" outlineLevel="1">
      <c r="A140" s="145"/>
      <c r="B140" s="132" t="s">
        <v>183</v>
      </c>
      <c r="C140" s="128" t="s">
        <v>272</v>
      </c>
      <c r="D140" s="118">
        <v>64.228437968658596</v>
      </c>
      <c r="E140" s="130">
        <f t="shared" si="4"/>
        <v>64.228437968658596</v>
      </c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>
        <f t="shared" si="5"/>
        <v>0</v>
      </c>
    </row>
    <row r="141" spans="1:24" ht="15.75">
      <c r="A141" s="169" t="s">
        <v>185</v>
      </c>
      <c r="B141" s="165" t="s">
        <v>184</v>
      </c>
      <c r="C141" s="158"/>
      <c r="D141" s="159">
        <f>D142+D143+D144</f>
        <v>468.55401789356779</v>
      </c>
      <c r="E141" s="160">
        <f t="shared" si="4"/>
        <v>468.55401789356779</v>
      </c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>
        <f t="shared" si="5"/>
        <v>0</v>
      </c>
    </row>
    <row r="142" spans="1:24" outlineLevel="1">
      <c r="A142" s="190"/>
      <c r="B142" s="175" t="s">
        <v>14</v>
      </c>
      <c r="C142" s="181" t="s">
        <v>285</v>
      </c>
      <c r="D142" s="184">
        <v>319.05575652198957</v>
      </c>
      <c r="E142" s="178">
        <f t="shared" si="4"/>
        <v>319.05575652198957</v>
      </c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>
        <f t="shared" si="5"/>
        <v>0</v>
      </c>
    </row>
    <row r="143" spans="1:24" outlineLevel="1">
      <c r="A143" s="187"/>
      <c r="B143" s="175" t="s">
        <v>17</v>
      </c>
      <c r="C143" s="181" t="s">
        <v>286</v>
      </c>
      <c r="D143" s="184">
        <v>10.887777691312897</v>
      </c>
      <c r="E143" s="178">
        <f t="shared" si="4"/>
        <v>10.887777691312897</v>
      </c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>
        <f t="shared" si="5"/>
        <v>0</v>
      </c>
    </row>
    <row r="144" spans="1:24" outlineLevel="1">
      <c r="A144" s="190"/>
      <c r="B144" s="175" t="s">
        <v>20</v>
      </c>
      <c r="C144" s="181" t="s">
        <v>276</v>
      </c>
      <c r="D144" s="184">
        <f>D146+D145</f>
        <v>138.6104836802653</v>
      </c>
      <c r="E144" s="178">
        <f t="shared" si="4"/>
        <v>138.6104836802653</v>
      </c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>
        <f t="shared" si="5"/>
        <v>0</v>
      </c>
    </row>
    <row r="145" spans="1:22" outlineLevel="1">
      <c r="A145" s="145"/>
      <c r="B145" s="132" t="s">
        <v>182</v>
      </c>
      <c r="C145" s="128" t="s">
        <v>287</v>
      </c>
      <c r="D145" s="118">
        <v>74.382045711606693</v>
      </c>
      <c r="E145" s="130">
        <f t="shared" si="4"/>
        <v>74.382045711606693</v>
      </c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>
        <f t="shared" si="5"/>
        <v>0</v>
      </c>
    </row>
    <row r="146" spans="1:22" outlineLevel="1">
      <c r="A146" s="145"/>
      <c r="B146" s="132" t="s">
        <v>183</v>
      </c>
      <c r="C146" s="128" t="s">
        <v>272</v>
      </c>
      <c r="D146" s="118">
        <v>64.228437968658596</v>
      </c>
      <c r="E146" s="130">
        <f t="shared" si="4"/>
        <v>64.228437968658596</v>
      </c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>
        <f t="shared" si="5"/>
        <v>0</v>
      </c>
    </row>
    <row r="147" spans="1:22" ht="15.75">
      <c r="A147" s="169" t="s">
        <v>187</v>
      </c>
      <c r="B147" s="165" t="s">
        <v>186</v>
      </c>
      <c r="C147" s="158"/>
      <c r="D147" s="159">
        <f>D148+D149+D150</f>
        <v>468.55401789356779</v>
      </c>
      <c r="E147" s="160">
        <f t="shared" si="4"/>
        <v>468.55401789356779</v>
      </c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>
        <f t="shared" si="5"/>
        <v>0</v>
      </c>
    </row>
    <row r="148" spans="1:22" outlineLevel="1">
      <c r="A148" s="190"/>
      <c r="B148" s="175" t="s">
        <v>14</v>
      </c>
      <c r="C148" s="181" t="s">
        <v>285</v>
      </c>
      <c r="D148" s="184">
        <v>319.05575652198957</v>
      </c>
      <c r="E148" s="178">
        <f t="shared" si="4"/>
        <v>319.05575652198957</v>
      </c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>
        <f t="shared" si="5"/>
        <v>0</v>
      </c>
    </row>
    <row r="149" spans="1:22" outlineLevel="1">
      <c r="A149" s="187"/>
      <c r="B149" s="175" t="s">
        <v>17</v>
      </c>
      <c r="C149" s="181" t="s">
        <v>286</v>
      </c>
      <c r="D149" s="184">
        <v>10.887777691312897</v>
      </c>
      <c r="E149" s="178">
        <f t="shared" si="4"/>
        <v>10.887777691312897</v>
      </c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>
        <f t="shared" si="5"/>
        <v>0</v>
      </c>
    </row>
    <row r="150" spans="1:22" outlineLevel="1">
      <c r="A150" s="190"/>
      <c r="B150" s="175" t="s">
        <v>20</v>
      </c>
      <c r="C150" s="181" t="s">
        <v>276</v>
      </c>
      <c r="D150" s="178">
        <f>D151+D152</f>
        <v>138.6104836802653</v>
      </c>
      <c r="E150" s="178">
        <f t="shared" si="4"/>
        <v>138.6104836802653</v>
      </c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>
        <f t="shared" si="5"/>
        <v>0</v>
      </c>
    </row>
    <row r="151" spans="1:22" outlineLevel="1">
      <c r="A151" s="145"/>
      <c r="B151" s="132" t="s">
        <v>182</v>
      </c>
      <c r="C151" s="128" t="s">
        <v>287</v>
      </c>
      <c r="D151" s="118">
        <v>74.382045711606693</v>
      </c>
      <c r="E151" s="130">
        <f t="shared" si="4"/>
        <v>74.382045711606693</v>
      </c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>
        <f t="shared" si="5"/>
        <v>0</v>
      </c>
    </row>
    <row r="152" spans="1:22" outlineLevel="1">
      <c r="A152" s="145"/>
      <c r="B152" s="132" t="s">
        <v>183</v>
      </c>
      <c r="C152" s="128" t="s">
        <v>272</v>
      </c>
      <c r="D152" s="118">
        <v>64.228437968658596</v>
      </c>
      <c r="E152" s="130">
        <f t="shared" si="4"/>
        <v>64.228437968658596</v>
      </c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>
        <f t="shared" si="5"/>
        <v>0</v>
      </c>
    </row>
    <row r="153" spans="1:22" ht="15.75">
      <c r="A153" s="169" t="s">
        <v>189</v>
      </c>
      <c r="B153" s="165" t="s">
        <v>188</v>
      </c>
      <c r="C153" s="158"/>
      <c r="D153" s="159">
        <f>D154+D155+D156</f>
        <v>501.54837131489882</v>
      </c>
      <c r="E153" s="160">
        <f t="shared" si="4"/>
        <v>501.54837131489882</v>
      </c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>
        <f t="shared" si="5"/>
        <v>0</v>
      </c>
    </row>
    <row r="154" spans="1:22" outlineLevel="1">
      <c r="A154" s="190"/>
      <c r="B154" s="175" t="s">
        <v>14</v>
      </c>
      <c r="C154" s="181" t="s">
        <v>285</v>
      </c>
      <c r="D154" s="184">
        <v>350.96133217418929</v>
      </c>
      <c r="E154" s="178">
        <f t="shared" si="4"/>
        <v>350.96133217418929</v>
      </c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>
        <f t="shared" si="5"/>
        <v>0</v>
      </c>
    </row>
    <row r="155" spans="1:22" outlineLevel="1">
      <c r="A155" s="187"/>
      <c r="B155" s="175" t="s">
        <v>17</v>
      </c>
      <c r="C155" s="181" t="s">
        <v>286</v>
      </c>
      <c r="D155" s="184">
        <v>11.976555460444212</v>
      </c>
      <c r="E155" s="178">
        <f t="shared" si="4"/>
        <v>11.976555460444212</v>
      </c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>
        <f t="shared" si="5"/>
        <v>0</v>
      </c>
    </row>
    <row r="156" spans="1:22" outlineLevel="1">
      <c r="A156" s="190"/>
      <c r="B156" s="175" t="s">
        <v>20</v>
      </c>
      <c r="C156" s="181" t="s">
        <v>276</v>
      </c>
      <c r="D156" s="184">
        <f>D157+D158</f>
        <v>138.6104836802653</v>
      </c>
      <c r="E156" s="178">
        <f t="shared" si="4"/>
        <v>138.6104836802653</v>
      </c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>
        <f t="shared" si="5"/>
        <v>0</v>
      </c>
    </row>
    <row r="157" spans="1:22" outlineLevel="1">
      <c r="A157" s="145"/>
      <c r="B157" s="132" t="s">
        <v>182</v>
      </c>
      <c r="C157" s="128" t="s">
        <v>287</v>
      </c>
      <c r="D157" s="118">
        <v>74.382045711606693</v>
      </c>
      <c r="E157" s="130">
        <f t="shared" si="4"/>
        <v>74.382045711606693</v>
      </c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>
        <f t="shared" si="5"/>
        <v>0</v>
      </c>
    </row>
    <row r="158" spans="1:22" outlineLevel="1">
      <c r="A158" s="145"/>
      <c r="B158" s="132" t="s">
        <v>183</v>
      </c>
      <c r="C158" s="128" t="s">
        <v>272</v>
      </c>
      <c r="D158" s="118">
        <v>64.228437968658596</v>
      </c>
      <c r="E158" s="130">
        <f t="shared" si="4"/>
        <v>64.228437968658596</v>
      </c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>
        <f t="shared" si="5"/>
        <v>0</v>
      </c>
    </row>
    <row r="159" spans="1:22" ht="15.75">
      <c r="A159" s="169" t="s">
        <v>191</v>
      </c>
      <c r="B159" s="165" t="s">
        <v>190</v>
      </c>
      <c r="C159" s="158"/>
      <c r="D159" s="159">
        <f>D160+D161+D162</f>
        <v>537.84216007836153</v>
      </c>
      <c r="E159" s="160">
        <f t="shared" si="4"/>
        <v>537.84216007836153</v>
      </c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>
        <f t="shared" si="5"/>
        <v>0</v>
      </c>
    </row>
    <row r="160" spans="1:22" outlineLevel="1">
      <c r="A160" s="190"/>
      <c r="B160" s="175" t="s">
        <v>14</v>
      </c>
      <c r="C160" s="181" t="s">
        <v>285</v>
      </c>
      <c r="D160" s="184">
        <v>386.05746539160754</v>
      </c>
      <c r="E160" s="178">
        <f t="shared" si="4"/>
        <v>386.05746539160754</v>
      </c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>
        <f t="shared" si="5"/>
        <v>0</v>
      </c>
    </row>
    <row r="161" spans="1:22" outlineLevel="1">
      <c r="A161" s="187"/>
      <c r="B161" s="175" t="s">
        <v>17</v>
      </c>
      <c r="C161" s="181" t="s">
        <v>286</v>
      </c>
      <c r="D161" s="184">
        <v>13.17421100648861</v>
      </c>
      <c r="E161" s="178">
        <f t="shared" si="4"/>
        <v>13.17421100648861</v>
      </c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>
        <f t="shared" si="5"/>
        <v>0</v>
      </c>
    </row>
    <row r="162" spans="1:22" outlineLevel="1">
      <c r="A162" s="190"/>
      <c r="B162" s="175" t="s">
        <v>20</v>
      </c>
      <c r="C162" s="181" t="s">
        <v>276</v>
      </c>
      <c r="D162" s="184">
        <f>D163+D164</f>
        <v>138.6104836802653</v>
      </c>
      <c r="E162" s="178">
        <f t="shared" si="4"/>
        <v>138.6104836802653</v>
      </c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>
        <f t="shared" si="5"/>
        <v>0</v>
      </c>
    </row>
    <row r="163" spans="1:22" outlineLevel="1">
      <c r="A163" s="145"/>
      <c r="B163" s="132" t="s">
        <v>182</v>
      </c>
      <c r="C163" s="128" t="s">
        <v>287</v>
      </c>
      <c r="D163" s="118">
        <v>74.382045711606693</v>
      </c>
      <c r="E163" s="130">
        <f t="shared" si="4"/>
        <v>74.382045711606693</v>
      </c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>
        <f t="shared" si="5"/>
        <v>0</v>
      </c>
    </row>
    <row r="164" spans="1:22" outlineLevel="1">
      <c r="A164" s="145"/>
      <c r="B164" s="132" t="s">
        <v>183</v>
      </c>
      <c r="C164" s="128" t="s">
        <v>272</v>
      </c>
      <c r="D164" s="118">
        <v>64.228437968658596</v>
      </c>
      <c r="E164" s="130">
        <f t="shared" si="4"/>
        <v>64.228437968658596</v>
      </c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>
        <f t="shared" si="5"/>
        <v>0</v>
      </c>
    </row>
    <row r="165" spans="1:22" ht="15.75">
      <c r="A165" s="169" t="s">
        <v>193</v>
      </c>
      <c r="B165" s="165" t="s">
        <v>192</v>
      </c>
      <c r="C165" s="158"/>
      <c r="D165" s="159">
        <f>SUM(D166+D167+D168)</f>
        <v>577.76532771817131</v>
      </c>
      <c r="E165" s="160">
        <f t="shared" si="4"/>
        <v>577.76532771817131</v>
      </c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>
        <f t="shared" si="5"/>
        <v>0</v>
      </c>
    </row>
    <row r="166" spans="1:22" outlineLevel="1">
      <c r="A166" s="190"/>
      <c r="B166" s="175" t="s">
        <v>14</v>
      </c>
      <c r="C166" s="181" t="s">
        <v>285</v>
      </c>
      <c r="D166" s="184">
        <v>424.66321193076851</v>
      </c>
      <c r="E166" s="178">
        <f t="shared" si="4"/>
        <v>424.66321193076851</v>
      </c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>
        <f t="shared" si="5"/>
        <v>0</v>
      </c>
    </row>
    <row r="167" spans="1:22" outlineLevel="1">
      <c r="A167" s="187"/>
      <c r="B167" s="175" t="s">
        <v>17</v>
      </c>
      <c r="C167" s="181" t="s">
        <v>286</v>
      </c>
      <c r="D167" s="184">
        <v>14.491632107137479</v>
      </c>
      <c r="E167" s="178">
        <f t="shared" si="4"/>
        <v>14.491632107137479</v>
      </c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>
        <f t="shared" si="5"/>
        <v>0</v>
      </c>
    </row>
    <row r="168" spans="1:22" outlineLevel="1">
      <c r="A168" s="190"/>
      <c r="B168" s="175" t="s">
        <v>20</v>
      </c>
      <c r="C168" s="181" t="s">
        <v>276</v>
      </c>
      <c r="D168" s="184">
        <f>D169+D170</f>
        <v>138.6104836802653</v>
      </c>
      <c r="E168" s="178">
        <f t="shared" si="4"/>
        <v>138.6104836802653</v>
      </c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>
        <f t="shared" si="5"/>
        <v>0</v>
      </c>
    </row>
    <row r="169" spans="1:22" outlineLevel="1">
      <c r="A169" s="145"/>
      <c r="B169" s="132" t="s">
        <v>182</v>
      </c>
      <c r="C169" s="128" t="s">
        <v>287</v>
      </c>
      <c r="D169" s="118">
        <v>74.382045711606693</v>
      </c>
      <c r="E169" s="130">
        <f t="shared" si="4"/>
        <v>74.382045711606693</v>
      </c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>
        <f t="shared" si="5"/>
        <v>0</v>
      </c>
    </row>
    <row r="170" spans="1:22" outlineLevel="1">
      <c r="A170" s="145"/>
      <c r="B170" s="132" t="s">
        <v>183</v>
      </c>
      <c r="C170" s="128" t="s">
        <v>272</v>
      </c>
      <c r="D170" s="118">
        <v>64.228437968658596</v>
      </c>
      <c r="E170" s="130">
        <f t="shared" si="4"/>
        <v>64.228437968658596</v>
      </c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>
        <f t="shared" si="5"/>
        <v>0</v>
      </c>
    </row>
    <row r="171" spans="1:22" ht="31.5">
      <c r="A171" s="169" t="s">
        <v>195</v>
      </c>
      <c r="B171" s="165" t="s">
        <v>194</v>
      </c>
      <c r="C171" s="163"/>
      <c r="D171" s="159">
        <f>D172+D173+D174</f>
        <v>136.12947889763296</v>
      </c>
      <c r="E171" s="160">
        <f t="shared" si="4"/>
        <v>136.12947889763296</v>
      </c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>
        <f t="shared" si="5"/>
        <v>0</v>
      </c>
    </row>
    <row r="172" spans="1:22" outlineLevel="1">
      <c r="A172" s="190"/>
      <c r="B172" s="175" t="s">
        <v>14</v>
      </c>
      <c r="C172" s="181" t="s">
        <v>14</v>
      </c>
      <c r="D172" s="184">
        <v>26.000774475295628</v>
      </c>
      <c r="E172" s="178">
        <f t="shared" si="4"/>
        <v>26.000774475295628</v>
      </c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>
        <f t="shared" si="5"/>
        <v>0</v>
      </c>
    </row>
    <row r="173" spans="1:22" outlineLevel="1">
      <c r="A173" s="187"/>
      <c r="B173" s="175" t="s">
        <v>17</v>
      </c>
      <c r="C173" s="181" t="s">
        <v>17</v>
      </c>
      <c r="D173" s="184">
        <v>1.267537755670662</v>
      </c>
      <c r="E173" s="178">
        <f t="shared" si="4"/>
        <v>1.267537755670662</v>
      </c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>
        <f t="shared" si="5"/>
        <v>0</v>
      </c>
    </row>
    <row r="174" spans="1:22" outlineLevel="1">
      <c r="A174" s="190"/>
      <c r="B174" s="175" t="s">
        <v>20</v>
      </c>
      <c r="C174" s="181" t="s">
        <v>276</v>
      </c>
      <c r="D174" s="184">
        <v>108.86116666666666</v>
      </c>
      <c r="E174" s="178">
        <f t="shared" si="4"/>
        <v>108.86116666666666</v>
      </c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>
        <f t="shared" si="5"/>
        <v>0</v>
      </c>
    </row>
    <row r="175" spans="1:22" ht="15.75">
      <c r="A175" s="169" t="s">
        <v>200</v>
      </c>
      <c r="B175" s="165" t="s">
        <v>199</v>
      </c>
      <c r="C175" s="158"/>
      <c r="D175" s="159">
        <f>D176+D177+D178</f>
        <v>127.38497889763295</v>
      </c>
      <c r="E175" s="160">
        <f t="shared" si="4"/>
        <v>127.38497889763295</v>
      </c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>
        <f t="shared" si="5"/>
        <v>0</v>
      </c>
    </row>
    <row r="176" spans="1:22" outlineLevel="1">
      <c r="A176" s="190"/>
      <c r="B176" s="175" t="s">
        <v>14</v>
      </c>
      <c r="C176" s="181" t="s">
        <v>14</v>
      </c>
      <c r="D176" s="184">
        <v>26.000774475295628</v>
      </c>
      <c r="E176" s="178">
        <f t="shared" si="4"/>
        <v>26.000774475295628</v>
      </c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>
        <f t="shared" si="5"/>
        <v>0</v>
      </c>
    </row>
    <row r="177" spans="1:22" outlineLevel="1">
      <c r="A177" s="187"/>
      <c r="B177" s="175" t="s">
        <v>17</v>
      </c>
      <c r="C177" s="181" t="s">
        <v>17</v>
      </c>
      <c r="D177" s="184">
        <v>1.267537755670662</v>
      </c>
      <c r="E177" s="178">
        <f t="shared" si="4"/>
        <v>1.267537755670662</v>
      </c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>
        <f t="shared" si="5"/>
        <v>0</v>
      </c>
    </row>
    <row r="178" spans="1:22" outlineLevel="1">
      <c r="A178" s="190"/>
      <c r="B178" s="175" t="s">
        <v>20</v>
      </c>
      <c r="C178" s="181" t="s">
        <v>276</v>
      </c>
      <c r="D178" s="184">
        <v>100.11666666666666</v>
      </c>
      <c r="E178" s="178">
        <f t="shared" si="4"/>
        <v>100.11666666666666</v>
      </c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>
        <f t="shared" si="5"/>
        <v>0</v>
      </c>
    </row>
    <row r="179" spans="1:22" ht="15.75">
      <c r="A179" s="169" t="s">
        <v>202</v>
      </c>
      <c r="B179" s="165" t="s">
        <v>201</v>
      </c>
      <c r="C179" s="158"/>
      <c r="D179" s="159">
        <f>SUM(D180:D182)</f>
        <v>28.56631223096629</v>
      </c>
      <c r="E179" s="160">
        <f t="shared" si="4"/>
        <v>28.56631223096629</v>
      </c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>
        <f t="shared" si="5"/>
        <v>0</v>
      </c>
    </row>
    <row r="180" spans="1:22" outlineLevel="1">
      <c r="A180" s="190"/>
      <c r="B180" s="175" t="s">
        <v>14</v>
      </c>
      <c r="C180" s="181" t="s">
        <v>14</v>
      </c>
      <c r="D180" s="184">
        <v>26.000774475295628</v>
      </c>
      <c r="E180" s="178">
        <f t="shared" si="4"/>
        <v>26.000774475295628</v>
      </c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>
        <f t="shared" si="5"/>
        <v>0</v>
      </c>
    </row>
    <row r="181" spans="1:22" outlineLevel="1">
      <c r="A181" s="187"/>
      <c r="B181" s="175" t="s">
        <v>17</v>
      </c>
      <c r="C181" s="181" t="s">
        <v>17</v>
      </c>
      <c r="D181" s="184">
        <v>1.267537755670662</v>
      </c>
      <c r="E181" s="178">
        <f t="shared" si="4"/>
        <v>1.267537755670662</v>
      </c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>
        <f t="shared" si="5"/>
        <v>0</v>
      </c>
    </row>
    <row r="182" spans="1:22" outlineLevel="1">
      <c r="A182" s="187"/>
      <c r="B182" s="175" t="s">
        <v>20</v>
      </c>
      <c r="C182" s="181" t="s">
        <v>276</v>
      </c>
      <c r="D182" s="184">
        <v>1.298</v>
      </c>
      <c r="E182" s="178">
        <f t="shared" si="4"/>
        <v>1.298</v>
      </c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>
        <f t="shared" si="5"/>
        <v>0</v>
      </c>
    </row>
    <row r="183" spans="1:22" ht="15.75">
      <c r="A183" s="169" t="s">
        <v>204</v>
      </c>
      <c r="B183" s="165" t="s">
        <v>203</v>
      </c>
      <c r="C183" s="158"/>
      <c r="D183" s="159">
        <f>SUM(D184:D186)</f>
        <v>450</v>
      </c>
      <c r="E183" s="160">
        <f t="shared" si="4"/>
        <v>450</v>
      </c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>
        <f t="shared" si="5"/>
        <v>0</v>
      </c>
    </row>
    <row r="184" spans="1:22" outlineLevel="1">
      <c r="A184" s="187"/>
      <c r="B184" s="175" t="s">
        <v>14</v>
      </c>
      <c r="C184" s="181" t="s">
        <v>14</v>
      </c>
      <c r="D184" s="184">
        <v>450</v>
      </c>
      <c r="E184" s="178">
        <f t="shared" si="4"/>
        <v>450</v>
      </c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>
        <f t="shared" si="5"/>
        <v>0</v>
      </c>
    </row>
    <row r="185" spans="1:22" outlineLevel="1">
      <c r="A185" s="187"/>
      <c r="B185" s="175" t="s">
        <v>17</v>
      </c>
      <c r="C185" s="181" t="s">
        <v>17</v>
      </c>
      <c r="D185" s="182">
        <v>0</v>
      </c>
      <c r="E185" s="178">
        <f t="shared" si="4"/>
        <v>0</v>
      </c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>
        <f t="shared" si="5"/>
        <v>0</v>
      </c>
    </row>
    <row r="186" spans="1:22" outlineLevel="1">
      <c r="A186" s="187"/>
      <c r="B186" s="175" t="s">
        <v>20</v>
      </c>
      <c r="C186" s="181" t="s">
        <v>276</v>
      </c>
      <c r="D186" s="182">
        <v>0</v>
      </c>
      <c r="E186" s="178">
        <f t="shared" si="4"/>
        <v>0</v>
      </c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>
        <f t="shared" si="5"/>
        <v>0</v>
      </c>
    </row>
    <row r="187" spans="1:22" ht="15.75">
      <c r="A187" s="169" t="s">
        <v>208</v>
      </c>
      <c r="B187" s="165" t="s">
        <v>207</v>
      </c>
      <c r="C187" s="163"/>
      <c r="D187" s="160">
        <f>SUM(D188:D190)</f>
        <v>26.403093289562662</v>
      </c>
      <c r="E187" s="160">
        <f t="shared" si="4"/>
        <v>26.403093289562662</v>
      </c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>
        <f t="shared" si="5"/>
        <v>0</v>
      </c>
    </row>
    <row r="188" spans="1:22" outlineLevel="1">
      <c r="A188" s="187"/>
      <c r="B188" s="175" t="s">
        <v>14</v>
      </c>
      <c r="C188" s="181" t="s">
        <v>14</v>
      </c>
      <c r="D188" s="184">
        <v>25.618400452248263</v>
      </c>
      <c r="E188" s="178">
        <f t="shared" si="4"/>
        <v>25.618400452248263</v>
      </c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>
        <f t="shared" si="5"/>
        <v>0</v>
      </c>
    </row>
    <row r="189" spans="1:22" outlineLevel="1">
      <c r="A189" s="187"/>
      <c r="B189" s="175" t="s">
        <v>17</v>
      </c>
      <c r="C189" s="181" t="s">
        <v>17</v>
      </c>
      <c r="D189" s="184">
        <v>0</v>
      </c>
      <c r="E189" s="178">
        <f t="shared" si="4"/>
        <v>0</v>
      </c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>
        <f t="shared" si="5"/>
        <v>0</v>
      </c>
    </row>
    <row r="190" spans="1:22" outlineLevel="1">
      <c r="A190" s="187"/>
      <c r="B190" s="175" t="s">
        <v>20</v>
      </c>
      <c r="C190" s="181" t="s">
        <v>276</v>
      </c>
      <c r="D190" s="184">
        <v>0.78469283731439798</v>
      </c>
      <c r="E190" s="178">
        <f t="shared" si="4"/>
        <v>0.78469283731439798</v>
      </c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>
        <f t="shared" si="5"/>
        <v>0</v>
      </c>
    </row>
    <row r="191" spans="1:22" ht="31.5">
      <c r="A191" s="170" t="s">
        <v>210</v>
      </c>
      <c r="B191" s="171" t="s">
        <v>209</v>
      </c>
      <c r="C191" s="163"/>
      <c r="D191" s="160">
        <f>SUM(D192+D193+D195)</f>
        <v>1154.1537566968439</v>
      </c>
      <c r="E191" s="160">
        <f t="shared" si="4"/>
        <v>1154.1537566968439</v>
      </c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>
        <f t="shared" si="5"/>
        <v>0</v>
      </c>
    </row>
    <row r="192" spans="1:22" outlineLevel="1">
      <c r="A192" s="187"/>
      <c r="B192" s="175" t="s">
        <v>14</v>
      </c>
      <c r="C192" s="181" t="s">
        <v>14</v>
      </c>
      <c r="D192" s="184">
        <v>982.904799302745</v>
      </c>
      <c r="E192" s="178">
        <f t="shared" si="4"/>
        <v>982.904799302745</v>
      </c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>
        <f t="shared" si="5"/>
        <v>0</v>
      </c>
    </row>
    <row r="193" spans="1:22" outlineLevel="1">
      <c r="A193" s="187"/>
      <c r="B193" s="175" t="s">
        <v>17</v>
      </c>
      <c r="C193" s="181" t="s">
        <v>17</v>
      </c>
      <c r="D193" s="189">
        <f>SUM(D194)</f>
        <v>33.541626276206181</v>
      </c>
      <c r="E193" s="178">
        <f t="shared" si="4"/>
        <v>33.541626276206181</v>
      </c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>
        <f t="shared" si="5"/>
        <v>0</v>
      </c>
    </row>
    <row r="194" spans="1:22" outlineLevel="1">
      <c r="A194" s="131"/>
      <c r="B194" s="140" t="s">
        <v>114</v>
      </c>
      <c r="C194" s="128" t="s">
        <v>272</v>
      </c>
      <c r="D194" s="118">
        <v>33.541626276206181</v>
      </c>
      <c r="E194" s="130">
        <f t="shared" si="4"/>
        <v>33.541626276206181</v>
      </c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>
        <f t="shared" si="5"/>
        <v>0</v>
      </c>
    </row>
    <row r="195" spans="1:22" outlineLevel="1">
      <c r="A195" s="187"/>
      <c r="B195" s="175" t="s">
        <v>20</v>
      </c>
      <c r="C195" s="181" t="s">
        <v>276</v>
      </c>
      <c r="D195" s="184">
        <f>SUM(D196:D197)</f>
        <v>137.70733111789269</v>
      </c>
      <c r="E195" s="178">
        <f t="shared" si="4"/>
        <v>137.70733111789269</v>
      </c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>
        <f t="shared" si="5"/>
        <v>0</v>
      </c>
    </row>
    <row r="196" spans="1:22" outlineLevel="1">
      <c r="A196" s="131"/>
      <c r="B196" s="132" t="s">
        <v>182</v>
      </c>
      <c r="C196" s="128" t="s">
        <v>287</v>
      </c>
      <c r="D196" s="118">
        <v>57.421783657069497</v>
      </c>
      <c r="E196" s="130">
        <f t="shared" si="4"/>
        <v>57.421783657069497</v>
      </c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>
        <f t="shared" si="5"/>
        <v>0</v>
      </c>
    </row>
    <row r="197" spans="1:22" outlineLevel="1">
      <c r="A197" s="131"/>
      <c r="B197" s="132" t="s">
        <v>183</v>
      </c>
      <c r="C197" s="128"/>
      <c r="D197" s="118">
        <v>80.285547460823196</v>
      </c>
      <c r="E197" s="130">
        <f t="shared" si="4"/>
        <v>80.285547460823196</v>
      </c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>
        <f t="shared" si="5"/>
        <v>0</v>
      </c>
    </row>
    <row r="198" spans="1:22" ht="47.25">
      <c r="A198" s="166" t="s">
        <v>212</v>
      </c>
      <c r="B198" s="166" t="s">
        <v>211</v>
      </c>
      <c r="C198" s="163"/>
      <c r="D198" s="159">
        <f>D199+D200+D204</f>
        <v>30065.403790903547</v>
      </c>
      <c r="E198" s="160">
        <f t="shared" ref="E198:E261" si="6">D198-V198</f>
        <v>30065.403790903547</v>
      </c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>
        <f t="shared" ref="V198:V261" si="7">SUM(F198:U198)</f>
        <v>0</v>
      </c>
    </row>
    <row r="199" spans="1:22" outlineLevel="1">
      <c r="A199" s="187"/>
      <c r="B199" s="175" t="s">
        <v>14</v>
      </c>
      <c r="C199" s="181" t="s">
        <v>285</v>
      </c>
      <c r="D199" s="184">
        <v>27697.95</v>
      </c>
      <c r="E199" s="178">
        <f t="shared" si="6"/>
        <v>27697.95</v>
      </c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>
        <f t="shared" si="7"/>
        <v>0</v>
      </c>
    </row>
    <row r="200" spans="1:22" outlineLevel="1">
      <c r="A200" s="187"/>
      <c r="B200" s="175" t="s">
        <v>17</v>
      </c>
      <c r="C200" s="181" t="s">
        <v>286</v>
      </c>
      <c r="D200" s="184">
        <f>SUM(D201:D203)</f>
        <v>2071.6172652533874</v>
      </c>
      <c r="E200" s="178">
        <f t="shared" si="6"/>
        <v>2071.6172652533874</v>
      </c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>
        <f t="shared" si="7"/>
        <v>0</v>
      </c>
    </row>
    <row r="201" spans="1:22" outlineLevel="1">
      <c r="A201" s="131"/>
      <c r="B201" s="140" t="s">
        <v>139</v>
      </c>
      <c r="C201" s="128" t="s">
        <v>278</v>
      </c>
      <c r="D201" s="118">
        <v>922.27097116418861</v>
      </c>
      <c r="E201" s="130">
        <f t="shared" si="6"/>
        <v>922.27097116418861</v>
      </c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>
        <f t="shared" si="7"/>
        <v>0</v>
      </c>
    </row>
    <row r="202" spans="1:22" outlineLevel="1">
      <c r="A202" s="131"/>
      <c r="B202" s="140" t="s">
        <v>114</v>
      </c>
      <c r="C202" s="128" t="s">
        <v>272</v>
      </c>
      <c r="D202" s="118">
        <v>675.1374929833006</v>
      </c>
      <c r="E202" s="130">
        <f t="shared" si="6"/>
        <v>675.1374929833006</v>
      </c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>
        <f t="shared" si="7"/>
        <v>0</v>
      </c>
    </row>
    <row r="203" spans="1:22" outlineLevel="1">
      <c r="A203" s="131"/>
      <c r="B203" s="144" t="s">
        <v>141</v>
      </c>
      <c r="C203" s="128" t="s">
        <v>272</v>
      </c>
      <c r="D203" s="118">
        <v>474.20880110589803</v>
      </c>
      <c r="E203" s="130">
        <f t="shared" si="6"/>
        <v>474.20880110589803</v>
      </c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>
        <f t="shared" si="7"/>
        <v>0</v>
      </c>
    </row>
    <row r="204" spans="1:22" outlineLevel="1">
      <c r="A204" s="187"/>
      <c r="B204" s="175" t="s">
        <v>20</v>
      </c>
      <c r="C204" s="181" t="s">
        <v>276</v>
      </c>
      <c r="D204" s="182">
        <f>SUM(D205:D207)</f>
        <v>295.83652565016035</v>
      </c>
      <c r="E204" s="178">
        <f t="shared" si="6"/>
        <v>295.83652565016035</v>
      </c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>
        <f t="shared" si="7"/>
        <v>0</v>
      </c>
    </row>
    <row r="205" spans="1:22" outlineLevel="1">
      <c r="A205" s="131"/>
      <c r="B205" s="132" t="s">
        <v>145</v>
      </c>
      <c r="C205" s="128" t="s">
        <v>272</v>
      </c>
      <c r="D205" s="118">
        <v>32.5</v>
      </c>
      <c r="E205" s="130">
        <f t="shared" si="6"/>
        <v>32.5</v>
      </c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>
        <f t="shared" si="7"/>
        <v>0</v>
      </c>
    </row>
    <row r="206" spans="1:22" outlineLevel="1">
      <c r="A206" s="131"/>
      <c r="B206" s="132" t="s">
        <v>150</v>
      </c>
      <c r="C206" s="128" t="s">
        <v>287</v>
      </c>
      <c r="D206" s="118">
        <v>153.37506452415499</v>
      </c>
      <c r="E206" s="130">
        <f t="shared" si="6"/>
        <v>153.37506452415499</v>
      </c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>
        <f t="shared" si="7"/>
        <v>0</v>
      </c>
    </row>
    <row r="207" spans="1:22" outlineLevel="1">
      <c r="A207" s="131"/>
      <c r="B207" s="132" t="s">
        <v>151</v>
      </c>
      <c r="C207" s="128" t="s">
        <v>272</v>
      </c>
      <c r="D207" s="118">
        <v>109.96146112600536</v>
      </c>
      <c r="E207" s="130">
        <f t="shared" si="6"/>
        <v>109.96146112600536</v>
      </c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>
        <f t="shared" si="7"/>
        <v>0</v>
      </c>
    </row>
    <row r="208" spans="1:22" ht="47.25">
      <c r="A208" s="166" t="s">
        <v>214</v>
      </c>
      <c r="B208" s="166" t="s">
        <v>213</v>
      </c>
      <c r="C208" s="163"/>
      <c r="D208" s="159">
        <f>D209+D210+D214</f>
        <v>29747.38722119488</v>
      </c>
      <c r="E208" s="160">
        <f t="shared" si="6"/>
        <v>29747.38722119488</v>
      </c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>
        <f t="shared" si="7"/>
        <v>0</v>
      </c>
    </row>
    <row r="209" spans="1:22" outlineLevel="1">
      <c r="A209" s="187"/>
      <c r="B209" s="175" t="s">
        <v>14</v>
      </c>
      <c r="C209" s="181" t="s">
        <v>285</v>
      </c>
      <c r="D209" s="184">
        <v>27387.500596241251</v>
      </c>
      <c r="E209" s="178">
        <f t="shared" si="6"/>
        <v>27387.500596241251</v>
      </c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>
        <f t="shared" si="7"/>
        <v>0</v>
      </c>
    </row>
    <row r="210" spans="1:22" outlineLevel="1">
      <c r="A210" s="187"/>
      <c r="B210" s="175" t="s">
        <v>17</v>
      </c>
      <c r="C210" s="181" t="s">
        <v>286</v>
      </c>
      <c r="D210" s="184">
        <f>SUM(D211:D213)</f>
        <v>2064.0500993034675</v>
      </c>
      <c r="E210" s="178">
        <f t="shared" si="6"/>
        <v>2064.0500993034675</v>
      </c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>
        <f t="shared" si="7"/>
        <v>0</v>
      </c>
    </row>
    <row r="211" spans="1:22" outlineLevel="1">
      <c r="A211" s="131"/>
      <c r="B211" s="140" t="s">
        <v>139</v>
      </c>
      <c r="C211" s="128" t="s">
        <v>278</v>
      </c>
      <c r="D211" s="118">
        <v>922.27097116418861</v>
      </c>
      <c r="E211" s="130">
        <f t="shared" si="6"/>
        <v>922.27097116418861</v>
      </c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>
        <f t="shared" si="7"/>
        <v>0</v>
      </c>
    </row>
    <row r="212" spans="1:22" outlineLevel="1">
      <c r="A212" s="131"/>
      <c r="B212" s="140" t="s">
        <v>114</v>
      </c>
      <c r="C212" s="128" t="s">
        <v>272</v>
      </c>
      <c r="D212" s="118">
        <v>667.57032703338064</v>
      </c>
      <c r="E212" s="130">
        <f t="shared" si="6"/>
        <v>667.57032703338064</v>
      </c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>
        <f t="shared" si="7"/>
        <v>0</v>
      </c>
    </row>
    <row r="213" spans="1:22" outlineLevel="1">
      <c r="A213" s="131"/>
      <c r="B213" s="144" t="s">
        <v>141</v>
      </c>
      <c r="C213" s="128" t="s">
        <v>272</v>
      </c>
      <c r="D213" s="118">
        <v>474.20880110589803</v>
      </c>
      <c r="E213" s="130">
        <f t="shared" si="6"/>
        <v>474.20880110589803</v>
      </c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>
        <f t="shared" si="7"/>
        <v>0</v>
      </c>
    </row>
    <row r="214" spans="1:22" outlineLevel="1">
      <c r="A214" s="187"/>
      <c r="B214" s="175" t="s">
        <v>20</v>
      </c>
      <c r="C214" s="181" t="s">
        <v>276</v>
      </c>
      <c r="D214" s="184">
        <f>D215+D216+D217</f>
        <v>295.83652565016035</v>
      </c>
      <c r="E214" s="178">
        <f t="shared" si="6"/>
        <v>295.83652565016035</v>
      </c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>
        <f t="shared" si="7"/>
        <v>0</v>
      </c>
    </row>
    <row r="215" spans="1:22" outlineLevel="1">
      <c r="A215" s="131"/>
      <c r="B215" s="132" t="s">
        <v>145</v>
      </c>
      <c r="C215" s="128" t="s">
        <v>272</v>
      </c>
      <c r="D215" s="118">
        <v>32.5</v>
      </c>
      <c r="E215" s="130">
        <f t="shared" si="6"/>
        <v>32.5</v>
      </c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>
        <f t="shared" si="7"/>
        <v>0</v>
      </c>
    </row>
    <row r="216" spans="1:22" outlineLevel="1">
      <c r="A216" s="131"/>
      <c r="B216" s="132" t="s">
        <v>150</v>
      </c>
      <c r="C216" s="128" t="s">
        <v>287</v>
      </c>
      <c r="D216" s="118">
        <v>153.37506452415499</v>
      </c>
      <c r="E216" s="130">
        <f t="shared" si="6"/>
        <v>153.37506452415499</v>
      </c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>
        <f t="shared" si="7"/>
        <v>0</v>
      </c>
    </row>
    <row r="217" spans="1:22" outlineLevel="1">
      <c r="A217" s="131"/>
      <c r="B217" s="132" t="s">
        <v>151</v>
      </c>
      <c r="C217" s="128" t="s">
        <v>272</v>
      </c>
      <c r="D217" s="118">
        <v>109.96146112600536</v>
      </c>
      <c r="E217" s="130">
        <f t="shared" si="6"/>
        <v>109.96146112600536</v>
      </c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>
        <f t="shared" si="7"/>
        <v>0</v>
      </c>
    </row>
    <row r="218" spans="1:22" ht="47.25">
      <c r="A218" s="166" t="s">
        <v>216</v>
      </c>
      <c r="B218" s="166" t="s">
        <v>215</v>
      </c>
      <c r="C218" s="158"/>
      <c r="D218" s="159">
        <f>D219+D220+D224</f>
        <v>15407.734661641971</v>
      </c>
      <c r="E218" s="160">
        <f t="shared" si="6"/>
        <v>15407.734661641971</v>
      </c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>
        <f t="shared" si="7"/>
        <v>0</v>
      </c>
    </row>
    <row r="219" spans="1:22" outlineLevel="1">
      <c r="A219" s="187"/>
      <c r="B219" s="175" t="s">
        <v>14</v>
      </c>
      <c r="C219" s="181" t="s">
        <v>285</v>
      </c>
      <c r="D219" s="184">
        <v>13389.06</v>
      </c>
      <c r="E219" s="178">
        <f t="shared" si="6"/>
        <v>13389.06</v>
      </c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>
        <f t="shared" si="7"/>
        <v>0</v>
      </c>
    </row>
    <row r="220" spans="1:22" ht="26.25" customHeight="1" outlineLevel="1">
      <c r="A220" s="187"/>
      <c r="B220" s="175" t="s">
        <v>17</v>
      </c>
      <c r="C220" s="181" t="s">
        <v>286</v>
      </c>
      <c r="D220" s="184">
        <f>SUM(D221:D223)</f>
        <v>1722.8381359918103</v>
      </c>
      <c r="E220" s="178">
        <f t="shared" si="6"/>
        <v>1722.8381359918103</v>
      </c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>
        <f t="shared" si="7"/>
        <v>0</v>
      </c>
    </row>
    <row r="221" spans="1:22" ht="26.25" customHeight="1" outlineLevel="1">
      <c r="A221" s="131"/>
      <c r="B221" s="140" t="s">
        <v>139</v>
      </c>
      <c r="C221" s="128" t="s">
        <v>278</v>
      </c>
      <c r="D221" s="118">
        <v>922.27097116418861</v>
      </c>
      <c r="E221" s="130">
        <f t="shared" si="6"/>
        <v>922.27097116418861</v>
      </c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>
        <f t="shared" si="7"/>
        <v>0</v>
      </c>
    </row>
    <row r="222" spans="1:22" outlineLevel="1">
      <c r="A222" s="131"/>
      <c r="B222" s="140" t="s">
        <v>114</v>
      </c>
      <c r="C222" s="128" t="s">
        <v>272</v>
      </c>
      <c r="D222" s="118">
        <v>326.35836372172383</v>
      </c>
      <c r="E222" s="130">
        <f t="shared" si="6"/>
        <v>326.35836372172383</v>
      </c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>
        <f t="shared" si="7"/>
        <v>0</v>
      </c>
    </row>
    <row r="223" spans="1:22" outlineLevel="1">
      <c r="A223" s="131"/>
      <c r="B223" s="144" t="s">
        <v>141</v>
      </c>
      <c r="C223" s="128" t="s">
        <v>272</v>
      </c>
      <c r="D223" s="118">
        <v>474.20880110589803</v>
      </c>
      <c r="E223" s="130">
        <f t="shared" si="6"/>
        <v>474.20880110589803</v>
      </c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>
        <f t="shared" si="7"/>
        <v>0</v>
      </c>
    </row>
    <row r="224" spans="1:22" outlineLevel="1">
      <c r="A224" s="187"/>
      <c r="B224" s="175" t="s">
        <v>20</v>
      </c>
      <c r="C224" s="181" t="s">
        <v>276</v>
      </c>
      <c r="D224" s="184">
        <f>D225+D226+D227</f>
        <v>295.83652565016035</v>
      </c>
      <c r="E224" s="178">
        <f t="shared" si="6"/>
        <v>295.83652565016035</v>
      </c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>
        <f t="shared" si="7"/>
        <v>0</v>
      </c>
    </row>
    <row r="225" spans="1:22" outlineLevel="1">
      <c r="A225" s="131"/>
      <c r="B225" s="132" t="s">
        <v>145</v>
      </c>
      <c r="C225" s="128" t="s">
        <v>272</v>
      </c>
      <c r="D225" s="118">
        <v>32.5</v>
      </c>
      <c r="E225" s="130">
        <f t="shared" si="6"/>
        <v>32.5</v>
      </c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>
        <f t="shared" si="7"/>
        <v>0</v>
      </c>
    </row>
    <row r="226" spans="1:22" outlineLevel="1">
      <c r="A226" s="131"/>
      <c r="B226" s="132" t="s">
        <v>150</v>
      </c>
      <c r="C226" s="128" t="s">
        <v>287</v>
      </c>
      <c r="D226" s="118">
        <v>153.37506452415499</v>
      </c>
      <c r="E226" s="130">
        <f t="shared" si="6"/>
        <v>153.37506452415499</v>
      </c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>
        <f t="shared" si="7"/>
        <v>0</v>
      </c>
    </row>
    <row r="227" spans="1:22" outlineLevel="1">
      <c r="A227" s="131"/>
      <c r="B227" s="132" t="s">
        <v>151</v>
      </c>
      <c r="C227" s="128" t="s">
        <v>272</v>
      </c>
      <c r="D227" s="118">
        <v>109.96146112600536</v>
      </c>
      <c r="E227" s="130">
        <f t="shared" si="6"/>
        <v>109.96146112600536</v>
      </c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>
        <f t="shared" si="7"/>
        <v>0</v>
      </c>
    </row>
    <row r="228" spans="1:22" ht="47.25">
      <c r="A228" s="166" t="s">
        <v>218</v>
      </c>
      <c r="B228" s="166" t="s">
        <v>217</v>
      </c>
      <c r="C228" s="163"/>
      <c r="D228" s="159">
        <f>D229+D230+D234</f>
        <v>29747.38722119488</v>
      </c>
      <c r="E228" s="160">
        <f t="shared" si="6"/>
        <v>29747.38722119488</v>
      </c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>
        <f t="shared" si="7"/>
        <v>0</v>
      </c>
    </row>
    <row r="229" spans="1:22" outlineLevel="1">
      <c r="A229" s="187"/>
      <c r="B229" s="175" t="s">
        <v>14</v>
      </c>
      <c r="C229" s="181" t="s">
        <v>285</v>
      </c>
      <c r="D229" s="184">
        <v>27387.500596241251</v>
      </c>
      <c r="E229" s="178">
        <f t="shared" si="6"/>
        <v>27387.500596241251</v>
      </c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>
        <f t="shared" si="7"/>
        <v>0</v>
      </c>
    </row>
    <row r="230" spans="1:22" outlineLevel="1">
      <c r="A230" s="187"/>
      <c r="B230" s="175" t="s">
        <v>17</v>
      </c>
      <c r="C230" s="181" t="s">
        <v>286</v>
      </c>
      <c r="D230" s="184">
        <f>SUM(D231:D233)</f>
        <v>2064.0500993034675</v>
      </c>
      <c r="E230" s="178">
        <f t="shared" si="6"/>
        <v>2064.0500993034675</v>
      </c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>
        <f t="shared" si="7"/>
        <v>0</v>
      </c>
    </row>
    <row r="231" spans="1:22" outlineLevel="1">
      <c r="A231" s="131"/>
      <c r="B231" s="140" t="s">
        <v>139</v>
      </c>
      <c r="C231" s="128" t="s">
        <v>278</v>
      </c>
      <c r="D231" s="118">
        <v>922.27097116418861</v>
      </c>
      <c r="E231" s="130">
        <f t="shared" si="6"/>
        <v>922.27097116418861</v>
      </c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>
        <f t="shared" si="7"/>
        <v>0</v>
      </c>
    </row>
    <row r="232" spans="1:22" outlineLevel="1">
      <c r="A232" s="131"/>
      <c r="B232" s="140" t="s">
        <v>114</v>
      </c>
      <c r="C232" s="128" t="s">
        <v>272</v>
      </c>
      <c r="D232" s="118">
        <v>667.57032703338064</v>
      </c>
      <c r="E232" s="130">
        <f t="shared" si="6"/>
        <v>667.57032703338064</v>
      </c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>
        <f t="shared" si="7"/>
        <v>0</v>
      </c>
    </row>
    <row r="233" spans="1:22" outlineLevel="1">
      <c r="A233" s="131"/>
      <c r="B233" s="144" t="s">
        <v>141</v>
      </c>
      <c r="C233" s="128" t="s">
        <v>272</v>
      </c>
      <c r="D233" s="118">
        <v>474.20880110589803</v>
      </c>
      <c r="E233" s="130">
        <f t="shared" si="6"/>
        <v>474.20880110589803</v>
      </c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>
        <f t="shared" si="7"/>
        <v>0</v>
      </c>
    </row>
    <row r="234" spans="1:22" outlineLevel="1">
      <c r="A234" s="187"/>
      <c r="B234" s="175" t="s">
        <v>20</v>
      </c>
      <c r="C234" s="181" t="s">
        <v>276</v>
      </c>
      <c r="D234" s="184">
        <f>D235+D236+D237</f>
        <v>295.83652565016035</v>
      </c>
      <c r="E234" s="178">
        <f t="shared" si="6"/>
        <v>295.83652565016035</v>
      </c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>
        <f t="shared" si="7"/>
        <v>0</v>
      </c>
    </row>
    <row r="235" spans="1:22" outlineLevel="1">
      <c r="A235" s="131"/>
      <c r="B235" s="132" t="s">
        <v>145</v>
      </c>
      <c r="C235" s="128" t="s">
        <v>272</v>
      </c>
      <c r="D235" s="118">
        <v>32.5</v>
      </c>
      <c r="E235" s="130">
        <f t="shared" si="6"/>
        <v>32.5</v>
      </c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>
        <f t="shared" si="7"/>
        <v>0</v>
      </c>
    </row>
    <row r="236" spans="1:22" outlineLevel="1">
      <c r="A236" s="131"/>
      <c r="B236" s="132" t="s">
        <v>150</v>
      </c>
      <c r="C236" s="128" t="s">
        <v>287</v>
      </c>
      <c r="D236" s="118">
        <v>153.37506452415499</v>
      </c>
      <c r="E236" s="130">
        <f t="shared" si="6"/>
        <v>153.37506452415499</v>
      </c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>
        <f t="shared" si="7"/>
        <v>0</v>
      </c>
    </row>
    <row r="237" spans="1:22" outlineLevel="1">
      <c r="A237" s="131"/>
      <c r="B237" s="132" t="s">
        <v>151</v>
      </c>
      <c r="C237" s="128" t="s">
        <v>272</v>
      </c>
      <c r="D237" s="118">
        <v>109.96146112600536</v>
      </c>
      <c r="E237" s="130">
        <f t="shared" si="6"/>
        <v>109.96146112600536</v>
      </c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>
        <f t="shared" si="7"/>
        <v>0</v>
      </c>
    </row>
    <row r="238" spans="1:22" ht="47.25">
      <c r="A238" s="166" t="s">
        <v>220</v>
      </c>
      <c r="B238" s="166" t="s">
        <v>219</v>
      </c>
      <c r="C238" s="163"/>
      <c r="D238" s="159">
        <f>D239+D240+D241</f>
        <v>477.16949999999997</v>
      </c>
      <c r="E238" s="160">
        <f t="shared" si="6"/>
        <v>477.16949999999997</v>
      </c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>
        <f t="shared" si="7"/>
        <v>0</v>
      </c>
    </row>
    <row r="239" spans="1:22" outlineLevel="1">
      <c r="A239" s="187"/>
      <c r="B239" s="175" t="s">
        <v>14</v>
      </c>
      <c r="C239" s="181" t="s">
        <v>285</v>
      </c>
      <c r="D239" s="182">
        <v>0</v>
      </c>
      <c r="E239" s="178">
        <f t="shared" si="6"/>
        <v>0</v>
      </c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>
        <f t="shared" si="7"/>
        <v>0</v>
      </c>
    </row>
    <row r="240" spans="1:22" outlineLevel="1">
      <c r="A240" s="187"/>
      <c r="B240" s="175" t="s">
        <v>17</v>
      </c>
      <c r="C240" s="181" t="s">
        <v>286</v>
      </c>
      <c r="D240" s="184">
        <v>0</v>
      </c>
      <c r="E240" s="178">
        <f t="shared" si="6"/>
        <v>0</v>
      </c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>
        <f t="shared" si="7"/>
        <v>0</v>
      </c>
    </row>
    <row r="241" spans="1:22" outlineLevel="1">
      <c r="A241" s="187"/>
      <c r="B241" s="175" t="s">
        <v>20</v>
      </c>
      <c r="C241" s="181" t="s">
        <v>276</v>
      </c>
      <c r="D241" s="184">
        <f>D242+D243</f>
        <v>477.16949999999997</v>
      </c>
      <c r="E241" s="178">
        <f t="shared" si="6"/>
        <v>477.16949999999997</v>
      </c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>
        <f t="shared" si="7"/>
        <v>0</v>
      </c>
    </row>
    <row r="242" spans="1:22" ht="30" outlineLevel="1">
      <c r="A242" s="131"/>
      <c r="B242" s="147" t="s">
        <v>221</v>
      </c>
      <c r="C242" s="128" t="s">
        <v>272</v>
      </c>
      <c r="D242" s="118">
        <v>318.113</v>
      </c>
      <c r="E242" s="130">
        <f t="shared" si="6"/>
        <v>318.113</v>
      </c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>
        <f t="shared" si="7"/>
        <v>0</v>
      </c>
    </row>
    <row r="243" spans="1:22" outlineLevel="1">
      <c r="A243" s="131"/>
      <c r="B243" s="132" t="s">
        <v>222</v>
      </c>
      <c r="C243" s="128" t="s">
        <v>272</v>
      </c>
      <c r="D243" s="118">
        <v>159.0565</v>
      </c>
      <c r="E243" s="130">
        <f t="shared" si="6"/>
        <v>159.0565</v>
      </c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>
        <f t="shared" si="7"/>
        <v>0</v>
      </c>
    </row>
    <row r="244" spans="1:22" ht="47.25">
      <c r="A244" s="166" t="s">
        <v>224</v>
      </c>
      <c r="B244" s="166" t="s">
        <v>223</v>
      </c>
      <c r="C244" s="158"/>
      <c r="D244" s="159">
        <f>D245+D246+D247</f>
        <v>1149.9764249999998</v>
      </c>
      <c r="E244" s="160">
        <f t="shared" si="6"/>
        <v>1149.9764249999998</v>
      </c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>
        <f t="shared" si="7"/>
        <v>0</v>
      </c>
    </row>
    <row r="245" spans="1:22" outlineLevel="1">
      <c r="A245" s="187"/>
      <c r="B245" s="175" t="s">
        <v>14</v>
      </c>
      <c r="C245" s="181" t="s">
        <v>285</v>
      </c>
      <c r="D245" s="182">
        <v>0</v>
      </c>
      <c r="E245" s="178">
        <f t="shared" si="6"/>
        <v>0</v>
      </c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>
        <f t="shared" si="7"/>
        <v>0</v>
      </c>
    </row>
    <row r="246" spans="1:22" outlineLevel="1">
      <c r="A246" s="187"/>
      <c r="B246" s="175" t="s">
        <v>17</v>
      </c>
      <c r="C246" s="181" t="s">
        <v>286</v>
      </c>
      <c r="D246" s="184">
        <v>0</v>
      </c>
      <c r="E246" s="178">
        <f t="shared" si="6"/>
        <v>0</v>
      </c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>
        <f t="shared" si="7"/>
        <v>0</v>
      </c>
    </row>
    <row r="247" spans="1:22" outlineLevel="1">
      <c r="A247" s="187"/>
      <c r="B247" s="175" t="s">
        <v>20</v>
      </c>
      <c r="C247" s="181" t="s">
        <v>276</v>
      </c>
      <c r="D247" s="184">
        <f>D248+D249</f>
        <v>1149.9764249999998</v>
      </c>
      <c r="E247" s="178">
        <f t="shared" si="6"/>
        <v>1149.9764249999998</v>
      </c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>
        <f t="shared" si="7"/>
        <v>0</v>
      </c>
    </row>
    <row r="248" spans="1:22" ht="30" outlineLevel="1">
      <c r="A248" s="131"/>
      <c r="B248" s="147" t="s">
        <v>225</v>
      </c>
      <c r="C248" s="128" t="s">
        <v>272</v>
      </c>
      <c r="D248" s="118">
        <v>766.65094999999997</v>
      </c>
      <c r="E248" s="130">
        <f t="shared" si="6"/>
        <v>766.65094999999997</v>
      </c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>
        <f t="shared" si="7"/>
        <v>0</v>
      </c>
    </row>
    <row r="249" spans="1:22" outlineLevel="1">
      <c r="A249" s="131"/>
      <c r="B249" s="132" t="s">
        <v>222</v>
      </c>
      <c r="C249" s="128" t="s">
        <v>272</v>
      </c>
      <c r="D249" s="118">
        <v>383.32547499999998</v>
      </c>
      <c r="E249" s="130">
        <f t="shared" si="6"/>
        <v>383.32547499999998</v>
      </c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>
        <f t="shared" si="7"/>
        <v>0</v>
      </c>
    </row>
    <row r="250" spans="1:22" ht="47.25">
      <c r="A250" s="166" t="s">
        <v>227</v>
      </c>
      <c r="B250" s="166" t="s">
        <v>226</v>
      </c>
      <c r="C250" s="158"/>
      <c r="D250" s="159">
        <f>D251+D252+D253</f>
        <v>1149.9764249999998</v>
      </c>
      <c r="E250" s="160">
        <f t="shared" si="6"/>
        <v>1149.9764249999998</v>
      </c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>
        <f t="shared" si="7"/>
        <v>0</v>
      </c>
    </row>
    <row r="251" spans="1:22" outlineLevel="1">
      <c r="A251" s="187"/>
      <c r="B251" s="175" t="s">
        <v>14</v>
      </c>
      <c r="C251" s="181" t="s">
        <v>285</v>
      </c>
      <c r="D251" s="182">
        <v>0</v>
      </c>
      <c r="E251" s="178">
        <f t="shared" si="6"/>
        <v>0</v>
      </c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>
        <f t="shared" si="7"/>
        <v>0</v>
      </c>
    </row>
    <row r="252" spans="1:22" outlineLevel="1">
      <c r="A252" s="187"/>
      <c r="B252" s="175" t="s">
        <v>17</v>
      </c>
      <c r="C252" s="181" t="s">
        <v>286</v>
      </c>
      <c r="D252" s="184">
        <v>0</v>
      </c>
      <c r="E252" s="178">
        <f t="shared" si="6"/>
        <v>0</v>
      </c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>
        <f t="shared" si="7"/>
        <v>0</v>
      </c>
    </row>
    <row r="253" spans="1:22" outlineLevel="1">
      <c r="A253" s="187"/>
      <c r="B253" s="175" t="s">
        <v>20</v>
      </c>
      <c r="C253" s="181" t="s">
        <v>276</v>
      </c>
      <c r="D253" s="184">
        <f>D254+D255</f>
        <v>1149.9764249999998</v>
      </c>
      <c r="E253" s="178">
        <f t="shared" si="6"/>
        <v>1149.9764249999998</v>
      </c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>
        <f t="shared" si="7"/>
        <v>0</v>
      </c>
    </row>
    <row r="254" spans="1:22" ht="30" outlineLevel="1">
      <c r="A254" s="131"/>
      <c r="B254" s="147" t="s">
        <v>228</v>
      </c>
      <c r="C254" s="128" t="s">
        <v>272</v>
      </c>
      <c r="D254" s="118">
        <v>766.65094999999997</v>
      </c>
      <c r="E254" s="130">
        <f t="shared" si="6"/>
        <v>766.65094999999997</v>
      </c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>
        <f t="shared" si="7"/>
        <v>0</v>
      </c>
    </row>
    <row r="255" spans="1:22" outlineLevel="1">
      <c r="A255" s="131"/>
      <c r="B255" s="132" t="s">
        <v>222</v>
      </c>
      <c r="C255" s="128" t="s">
        <v>272</v>
      </c>
      <c r="D255" s="118">
        <v>383.32547499999998</v>
      </c>
      <c r="E255" s="130">
        <f t="shared" si="6"/>
        <v>383.32547499999998</v>
      </c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>
        <f t="shared" si="7"/>
        <v>0</v>
      </c>
    </row>
    <row r="256" spans="1:22" ht="47.25">
      <c r="A256" s="166" t="s">
        <v>230</v>
      </c>
      <c r="B256" s="166" t="s">
        <v>229</v>
      </c>
      <c r="C256" s="158"/>
      <c r="D256" s="159">
        <f>D257+D258+D259</f>
        <v>1495.5525</v>
      </c>
      <c r="E256" s="160">
        <f t="shared" si="6"/>
        <v>1495.5525</v>
      </c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>
        <f t="shared" si="7"/>
        <v>0</v>
      </c>
    </row>
    <row r="257" spans="1:22" outlineLevel="1">
      <c r="A257" s="187"/>
      <c r="B257" s="175" t="s">
        <v>14</v>
      </c>
      <c r="C257" s="181" t="s">
        <v>285</v>
      </c>
      <c r="D257" s="182">
        <v>0</v>
      </c>
      <c r="E257" s="178">
        <f t="shared" si="6"/>
        <v>0</v>
      </c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>
        <f t="shared" si="7"/>
        <v>0</v>
      </c>
    </row>
    <row r="258" spans="1:22" outlineLevel="1">
      <c r="A258" s="187"/>
      <c r="B258" s="175" t="s">
        <v>17</v>
      </c>
      <c r="C258" s="181" t="s">
        <v>286</v>
      </c>
      <c r="D258" s="184">
        <v>0</v>
      </c>
      <c r="E258" s="178">
        <f t="shared" si="6"/>
        <v>0</v>
      </c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>
        <f t="shared" si="7"/>
        <v>0</v>
      </c>
    </row>
    <row r="259" spans="1:22" outlineLevel="1">
      <c r="A259" s="187"/>
      <c r="B259" s="175" t="s">
        <v>20</v>
      </c>
      <c r="C259" s="181" t="s">
        <v>276</v>
      </c>
      <c r="D259" s="184">
        <f>D260+D261</f>
        <v>1495.5525</v>
      </c>
      <c r="E259" s="178">
        <f t="shared" si="6"/>
        <v>1495.5525</v>
      </c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>
        <f t="shared" si="7"/>
        <v>0</v>
      </c>
    </row>
    <row r="260" spans="1:22" ht="30" outlineLevel="1">
      <c r="A260" s="131"/>
      <c r="B260" s="147" t="s">
        <v>231</v>
      </c>
      <c r="C260" s="128" t="s">
        <v>272</v>
      </c>
      <c r="D260" s="118">
        <v>997.03499999999997</v>
      </c>
      <c r="E260" s="130">
        <f t="shared" si="6"/>
        <v>997.03499999999997</v>
      </c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>
        <f t="shared" si="7"/>
        <v>0</v>
      </c>
    </row>
    <row r="261" spans="1:22" outlineLevel="1">
      <c r="A261" s="131"/>
      <c r="B261" s="132" t="s">
        <v>222</v>
      </c>
      <c r="C261" s="128" t="s">
        <v>272</v>
      </c>
      <c r="D261" s="118">
        <v>498.51749999999998</v>
      </c>
      <c r="E261" s="130">
        <f t="shared" si="6"/>
        <v>498.51749999999998</v>
      </c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>
        <f t="shared" si="7"/>
        <v>0</v>
      </c>
    </row>
    <row r="262" spans="1:22" ht="47.25">
      <c r="A262" s="166" t="s">
        <v>233</v>
      </c>
      <c r="B262" s="166" t="s">
        <v>232</v>
      </c>
      <c r="C262" s="158"/>
      <c r="D262" s="159">
        <f>D263+D264+D265</f>
        <v>1719.8853749999998</v>
      </c>
      <c r="E262" s="160">
        <f t="shared" ref="E262:E325" si="8">D262-V262</f>
        <v>1719.8853749999998</v>
      </c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>
        <f t="shared" ref="V262:V325" si="9">SUM(F262:U262)</f>
        <v>0</v>
      </c>
    </row>
    <row r="263" spans="1:22" outlineLevel="1">
      <c r="A263" s="187"/>
      <c r="B263" s="175" t="s">
        <v>14</v>
      </c>
      <c r="C263" s="181" t="s">
        <v>285</v>
      </c>
      <c r="D263" s="182">
        <v>0</v>
      </c>
      <c r="E263" s="178">
        <f t="shared" si="8"/>
        <v>0</v>
      </c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>
        <f t="shared" si="9"/>
        <v>0</v>
      </c>
    </row>
    <row r="264" spans="1:22" outlineLevel="1">
      <c r="A264" s="187"/>
      <c r="B264" s="175" t="s">
        <v>17</v>
      </c>
      <c r="C264" s="181" t="s">
        <v>286</v>
      </c>
      <c r="D264" s="184">
        <v>0</v>
      </c>
      <c r="E264" s="178">
        <f t="shared" si="8"/>
        <v>0</v>
      </c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>
        <f t="shared" si="9"/>
        <v>0</v>
      </c>
    </row>
    <row r="265" spans="1:22" outlineLevel="1">
      <c r="A265" s="187"/>
      <c r="B265" s="175" t="s">
        <v>20</v>
      </c>
      <c r="C265" s="181" t="s">
        <v>276</v>
      </c>
      <c r="D265" s="184">
        <f>D266+D267</f>
        <v>1719.8853749999998</v>
      </c>
      <c r="E265" s="178">
        <f t="shared" si="8"/>
        <v>1719.8853749999998</v>
      </c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>
        <f t="shared" si="9"/>
        <v>0</v>
      </c>
    </row>
    <row r="266" spans="1:22" ht="30" outlineLevel="1">
      <c r="A266" s="131"/>
      <c r="B266" s="147" t="s">
        <v>234</v>
      </c>
      <c r="C266" s="128" t="s">
        <v>272</v>
      </c>
      <c r="D266" s="118">
        <v>1146.59025</v>
      </c>
      <c r="E266" s="130">
        <f t="shared" si="8"/>
        <v>1146.59025</v>
      </c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>
        <f t="shared" si="9"/>
        <v>0</v>
      </c>
    </row>
    <row r="267" spans="1:22" outlineLevel="1">
      <c r="A267" s="131"/>
      <c r="B267" s="132" t="s">
        <v>222</v>
      </c>
      <c r="C267" s="128" t="s">
        <v>272</v>
      </c>
      <c r="D267" s="118">
        <v>573.29512499999998</v>
      </c>
      <c r="E267" s="130">
        <f t="shared" si="8"/>
        <v>573.29512499999998</v>
      </c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>
        <f t="shared" si="9"/>
        <v>0</v>
      </c>
    </row>
    <row r="268" spans="1:22" ht="47.25">
      <c r="A268" s="166" t="s">
        <v>236</v>
      </c>
      <c r="B268" s="166" t="s">
        <v>235</v>
      </c>
      <c r="C268" s="163"/>
      <c r="D268" s="160">
        <f>D269+D270+D271</f>
        <v>3195.6297749999994</v>
      </c>
      <c r="E268" s="160">
        <f t="shared" si="8"/>
        <v>3195.6297749999994</v>
      </c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>
        <f t="shared" si="9"/>
        <v>0</v>
      </c>
    </row>
    <row r="269" spans="1:22" outlineLevel="1">
      <c r="A269" s="187"/>
      <c r="B269" s="175" t="s">
        <v>14</v>
      </c>
      <c r="C269" s="181" t="s">
        <v>285</v>
      </c>
      <c r="D269" s="178">
        <v>0</v>
      </c>
      <c r="E269" s="178">
        <f t="shared" si="8"/>
        <v>0</v>
      </c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>
        <f t="shared" si="9"/>
        <v>0</v>
      </c>
    </row>
    <row r="270" spans="1:22" outlineLevel="1">
      <c r="A270" s="187"/>
      <c r="B270" s="175" t="s">
        <v>17</v>
      </c>
      <c r="C270" s="181" t="s">
        <v>286</v>
      </c>
      <c r="D270" s="178">
        <v>0</v>
      </c>
      <c r="E270" s="178">
        <f t="shared" si="8"/>
        <v>0</v>
      </c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>
        <f t="shared" si="9"/>
        <v>0</v>
      </c>
    </row>
    <row r="271" spans="1:22" outlineLevel="1">
      <c r="A271" s="187"/>
      <c r="B271" s="175" t="s">
        <v>20</v>
      </c>
      <c r="C271" s="181" t="s">
        <v>276</v>
      </c>
      <c r="D271" s="184">
        <f>D272+D273</f>
        <v>3195.6297749999994</v>
      </c>
      <c r="E271" s="178">
        <f t="shared" si="8"/>
        <v>3195.6297749999994</v>
      </c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>
        <f t="shared" si="9"/>
        <v>0</v>
      </c>
    </row>
    <row r="272" spans="1:22" ht="30" outlineLevel="1">
      <c r="A272" s="131"/>
      <c r="B272" s="147" t="s">
        <v>237</v>
      </c>
      <c r="C272" s="128" t="s">
        <v>272</v>
      </c>
      <c r="D272" s="118">
        <v>2130.4198499999998</v>
      </c>
      <c r="E272" s="130">
        <f t="shared" si="8"/>
        <v>2130.4198499999998</v>
      </c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>
        <f t="shared" si="9"/>
        <v>0</v>
      </c>
    </row>
    <row r="273" spans="1:22" outlineLevel="1">
      <c r="A273" s="131"/>
      <c r="B273" s="132" t="s">
        <v>222</v>
      </c>
      <c r="C273" s="128" t="s">
        <v>272</v>
      </c>
      <c r="D273" s="118">
        <v>1065.2099249999999</v>
      </c>
      <c r="E273" s="130">
        <f t="shared" si="8"/>
        <v>1065.2099249999999</v>
      </c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>
        <f t="shared" si="9"/>
        <v>0</v>
      </c>
    </row>
    <row r="274" spans="1:22" ht="31.5">
      <c r="A274" s="166" t="s">
        <v>239</v>
      </c>
      <c r="B274" s="166" t="s">
        <v>238</v>
      </c>
      <c r="C274" s="163"/>
      <c r="D274" s="160">
        <f>D275+D276+D277</f>
        <v>35871.077696638888</v>
      </c>
      <c r="E274" s="160">
        <f t="shared" si="8"/>
        <v>35871.077696638888</v>
      </c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>
        <f t="shared" si="9"/>
        <v>0</v>
      </c>
    </row>
    <row r="275" spans="1:22" outlineLevel="1">
      <c r="A275" s="187"/>
      <c r="B275" s="175" t="s">
        <v>14</v>
      </c>
      <c r="C275" s="181" t="s">
        <v>285</v>
      </c>
      <c r="D275" s="178">
        <v>0</v>
      </c>
      <c r="E275" s="178">
        <f t="shared" si="8"/>
        <v>0</v>
      </c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>
        <f t="shared" si="9"/>
        <v>0</v>
      </c>
    </row>
    <row r="276" spans="1:22" outlineLevel="1">
      <c r="A276" s="187"/>
      <c r="B276" s="175" t="s">
        <v>17</v>
      </c>
      <c r="C276" s="181" t="s">
        <v>286</v>
      </c>
      <c r="D276" s="178">
        <v>0</v>
      </c>
      <c r="E276" s="178">
        <f t="shared" si="8"/>
        <v>0</v>
      </c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>
        <f t="shared" si="9"/>
        <v>0</v>
      </c>
    </row>
    <row r="277" spans="1:22" outlineLevel="1">
      <c r="A277" s="187"/>
      <c r="B277" s="175" t="s">
        <v>20</v>
      </c>
      <c r="C277" s="181" t="s">
        <v>276</v>
      </c>
      <c r="D277" s="184">
        <f>D278+D279</f>
        <v>35871.077696638888</v>
      </c>
      <c r="E277" s="178">
        <f t="shared" si="8"/>
        <v>35871.077696638888</v>
      </c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>
        <f t="shared" si="9"/>
        <v>0</v>
      </c>
    </row>
    <row r="278" spans="1:22" outlineLevel="1">
      <c r="A278" s="131"/>
      <c r="B278" s="147" t="s">
        <v>240</v>
      </c>
      <c r="C278" s="128" t="s">
        <v>272</v>
      </c>
      <c r="D278" s="118">
        <v>35782.188807749997</v>
      </c>
      <c r="E278" s="130">
        <f t="shared" si="8"/>
        <v>35782.188807749997</v>
      </c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>
        <f t="shared" si="9"/>
        <v>0</v>
      </c>
    </row>
    <row r="279" spans="1:22" outlineLevel="1">
      <c r="A279" s="131"/>
      <c r="B279" s="147" t="s">
        <v>241</v>
      </c>
      <c r="C279" s="128" t="s">
        <v>272</v>
      </c>
      <c r="D279" s="118">
        <v>88.8888888888889</v>
      </c>
      <c r="E279" s="130">
        <f t="shared" si="8"/>
        <v>88.8888888888889</v>
      </c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>
        <f t="shared" si="9"/>
        <v>0</v>
      </c>
    </row>
    <row r="280" spans="1:22" ht="47.25">
      <c r="A280" s="166" t="s">
        <v>243</v>
      </c>
      <c r="B280" s="166" t="s">
        <v>242</v>
      </c>
      <c r="C280" s="158"/>
      <c r="D280" s="159">
        <f>D281+D282+D284</f>
        <v>987.01856898162612</v>
      </c>
      <c r="E280" s="160">
        <f t="shared" si="8"/>
        <v>987.01856898162612</v>
      </c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>
        <f t="shared" si="9"/>
        <v>0</v>
      </c>
    </row>
    <row r="281" spans="1:22" outlineLevel="1">
      <c r="A281" s="187"/>
      <c r="B281" s="175" t="s">
        <v>14</v>
      </c>
      <c r="C281" s="181" t="s">
        <v>285</v>
      </c>
      <c r="D281" s="184">
        <v>836.81213330680328</v>
      </c>
      <c r="E281" s="178">
        <f t="shared" si="8"/>
        <v>836.81213330680328</v>
      </c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>
        <f t="shared" si="9"/>
        <v>0</v>
      </c>
    </row>
    <row r="282" spans="1:22" outlineLevel="1">
      <c r="A282" s="187"/>
      <c r="B282" s="175" t="s">
        <v>17</v>
      </c>
      <c r="C282" s="181" t="s">
        <v>286</v>
      </c>
      <c r="D282" s="189">
        <f>D283</f>
        <v>28.556214049094667</v>
      </c>
      <c r="E282" s="178">
        <f t="shared" si="8"/>
        <v>28.556214049094667</v>
      </c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>
        <f t="shared" si="9"/>
        <v>0</v>
      </c>
    </row>
    <row r="283" spans="1:22" outlineLevel="1">
      <c r="A283" s="131"/>
      <c r="B283" s="140" t="s">
        <v>114</v>
      </c>
      <c r="C283" s="128" t="s">
        <v>272</v>
      </c>
      <c r="D283" s="118">
        <v>28.556214049094667</v>
      </c>
      <c r="E283" s="130">
        <f t="shared" si="8"/>
        <v>28.556214049094667</v>
      </c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>
        <f t="shared" si="9"/>
        <v>0</v>
      </c>
    </row>
    <row r="284" spans="1:22" outlineLevel="1">
      <c r="A284" s="187"/>
      <c r="B284" s="175" t="s">
        <v>20</v>
      </c>
      <c r="C284" s="181" t="s">
        <v>276</v>
      </c>
      <c r="D284" s="184">
        <f>D285+D286</f>
        <v>121.65022162572809</v>
      </c>
      <c r="E284" s="178">
        <f t="shared" si="8"/>
        <v>121.65022162572809</v>
      </c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>
        <f t="shared" si="9"/>
        <v>0</v>
      </c>
    </row>
    <row r="285" spans="1:22" outlineLevel="1">
      <c r="A285" s="131"/>
      <c r="B285" s="132" t="s">
        <v>182</v>
      </c>
      <c r="C285" s="128" t="s">
        <v>287</v>
      </c>
      <c r="D285" s="118">
        <v>57.421783657069497</v>
      </c>
      <c r="E285" s="130">
        <f t="shared" si="8"/>
        <v>57.421783657069497</v>
      </c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>
        <f t="shared" si="9"/>
        <v>0</v>
      </c>
    </row>
    <row r="286" spans="1:22" outlineLevel="1">
      <c r="A286" s="131"/>
      <c r="B286" s="147" t="s">
        <v>183</v>
      </c>
      <c r="C286" s="128" t="s">
        <v>272</v>
      </c>
      <c r="D286" s="118">
        <v>64.228437968658596</v>
      </c>
      <c r="E286" s="130">
        <f t="shared" si="8"/>
        <v>64.228437968658596</v>
      </c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>
        <f t="shared" si="9"/>
        <v>0</v>
      </c>
    </row>
    <row r="287" spans="1:22" ht="47.25">
      <c r="A287" s="166" t="s">
        <v>245</v>
      </c>
      <c r="B287" s="166" t="s">
        <v>244</v>
      </c>
      <c r="C287" s="158"/>
      <c r="D287" s="159">
        <f>D288+D289+D291</f>
        <v>1073.5554037172174</v>
      </c>
      <c r="E287" s="160">
        <f t="shared" si="8"/>
        <v>1073.5554037172174</v>
      </c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>
        <f t="shared" si="9"/>
        <v>0</v>
      </c>
    </row>
    <row r="288" spans="1:22" outlineLevel="1">
      <c r="A288" s="187"/>
      <c r="B288" s="175" t="s">
        <v>14</v>
      </c>
      <c r="C288" s="181" t="s">
        <v>285</v>
      </c>
      <c r="D288" s="184">
        <v>920.49334663748505</v>
      </c>
      <c r="E288" s="178">
        <f t="shared" si="8"/>
        <v>920.49334663748505</v>
      </c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>
        <f t="shared" si="9"/>
        <v>0</v>
      </c>
    </row>
    <row r="289" spans="1:22" outlineLevel="1">
      <c r="A289" s="187"/>
      <c r="B289" s="175" t="s">
        <v>17</v>
      </c>
      <c r="C289" s="181" t="s">
        <v>286</v>
      </c>
      <c r="D289" s="189">
        <f>D290</f>
        <v>31.411835454004184</v>
      </c>
      <c r="E289" s="178">
        <f t="shared" si="8"/>
        <v>31.411835454004184</v>
      </c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>
        <f t="shared" si="9"/>
        <v>0</v>
      </c>
    </row>
    <row r="290" spans="1:22" outlineLevel="1">
      <c r="A290" s="131"/>
      <c r="B290" s="140" t="s">
        <v>114</v>
      </c>
      <c r="C290" s="128" t="s">
        <v>272</v>
      </c>
      <c r="D290" s="118">
        <v>31.411835454004184</v>
      </c>
      <c r="E290" s="130">
        <f t="shared" si="8"/>
        <v>31.411835454004184</v>
      </c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>
        <f t="shared" si="9"/>
        <v>0</v>
      </c>
    </row>
    <row r="291" spans="1:22" outlineLevel="1">
      <c r="A291" s="187"/>
      <c r="B291" s="175" t="s">
        <v>20</v>
      </c>
      <c r="C291" s="181" t="s">
        <v>276</v>
      </c>
      <c r="D291" s="184">
        <f>D292+D293</f>
        <v>121.65022162572809</v>
      </c>
      <c r="E291" s="178">
        <f t="shared" si="8"/>
        <v>121.65022162572809</v>
      </c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>
        <f t="shared" si="9"/>
        <v>0</v>
      </c>
    </row>
    <row r="292" spans="1:22" outlineLevel="1">
      <c r="A292" s="131"/>
      <c r="B292" s="132" t="s">
        <v>182</v>
      </c>
      <c r="C292" s="128" t="s">
        <v>287</v>
      </c>
      <c r="D292" s="118">
        <v>57.421783657069497</v>
      </c>
      <c r="E292" s="130">
        <f t="shared" si="8"/>
        <v>57.421783657069497</v>
      </c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>
        <f t="shared" si="9"/>
        <v>0</v>
      </c>
    </row>
    <row r="293" spans="1:22" outlineLevel="1">
      <c r="A293" s="131"/>
      <c r="B293" s="147" t="s">
        <v>183</v>
      </c>
      <c r="C293" s="128" t="s">
        <v>272</v>
      </c>
      <c r="D293" s="118">
        <v>64.228437968658596</v>
      </c>
      <c r="E293" s="130">
        <f t="shared" si="8"/>
        <v>64.228437968658596</v>
      </c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>
        <f t="shared" si="9"/>
        <v>0</v>
      </c>
    </row>
    <row r="294" spans="1:22" ht="47.25">
      <c r="A294" s="166" t="s">
        <v>247</v>
      </c>
      <c r="B294" s="166" t="s">
        <v>246</v>
      </c>
      <c r="C294" s="158"/>
      <c r="D294" s="159">
        <f>SUM(D295:D296,D298)</f>
        <v>1073.5554037172174</v>
      </c>
      <c r="E294" s="160">
        <f t="shared" si="8"/>
        <v>1073.5554037172174</v>
      </c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>
        <f t="shared" si="9"/>
        <v>0</v>
      </c>
    </row>
    <row r="295" spans="1:22" outlineLevel="1">
      <c r="A295" s="187"/>
      <c r="B295" s="175" t="s">
        <v>14</v>
      </c>
      <c r="C295" s="181" t="s">
        <v>285</v>
      </c>
      <c r="D295" s="184">
        <v>920.49334663748505</v>
      </c>
      <c r="E295" s="178">
        <f t="shared" si="8"/>
        <v>920.49334663748505</v>
      </c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>
        <f t="shared" si="9"/>
        <v>0</v>
      </c>
    </row>
    <row r="296" spans="1:22" outlineLevel="1">
      <c r="A296" s="187"/>
      <c r="B296" s="175" t="s">
        <v>17</v>
      </c>
      <c r="C296" s="181" t="s">
        <v>286</v>
      </c>
      <c r="D296" s="189">
        <f>D297</f>
        <v>31.411835454004184</v>
      </c>
      <c r="E296" s="178">
        <f t="shared" si="8"/>
        <v>31.411835454004184</v>
      </c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>
        <f t="shared" si="9"/>
        <v>0</v>
      </c>
    </row>
    <row r="297" spans="1:22" outlineLevel="1">
      <c r="A297" s="131"/>
      <c r="B297" s="140" t="s">
        <v>114</v>
      </c>
      <c r="C297" s="128" t="s">
        <v>272</v>
      </c>
      <c r="D297" s="118">
        <v>31.411835454004184</v>
      </c>
      <c r="E297" s="130">
        <f t="shared" si="8"/>
        <v>31.411835454004184</v>
      </c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>
        <f t="shared" si="9"/>
        <v>0</v>
      </c>
    </row>
    <row r="298" spans="1:22" outlineLevel="1">
      <c r="A298" s="187"/>
      <c r="B298" s="175" t="s">
        <v>20</v>
      </c>
      <c r="C298" s="181" t="s">
        <v>276</v>
      </c>
      <c r="D298" s="184">
        <f>SUM(D299:D300)</f>
        <v>121.65022162572809</v>
      </c>
      <c r="E298" s="178">
        <f t="shared" si="8"/>
        <v>121.65022162572809</v>
      </c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>
        <f t="shared" si="9"/>
        <v>0</v>
      </c>
    </row>
    <row r="299" spans="1:22" outlineLevel="1">
      <c r="A299" s="131"/>
      <c r="B299" s="132" t="s">
        <v>182</v>
      </c>
      <c r="C299" s="128" t="s">
        <v>287</v>
      </c>
      <c r="D299" s="118">
        <v>57.421783657069497</v>
      </c>
      <c r="E299" s="130">
        <f t="shared" si="8"/>
        <v>57.421783657069497</v>
      </c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>
        <f t="shared" si="9"/>
        <v>0</v>
      </c>
    </row>
    <row r="300" spans="1:22" outlineLevel="1">
      <c r="A300" s="131"/>
      <c r="B300" s="147" t="s">
        <v>183</v>
      </c>
      <c r="C300" s="128" t="s">
        <v>272</v>
      </c>
      <c r="D300" s="118">
        <v>64.228437968658596</v>
      </c>
      <c r="E300" s="130">
        <f t="shared" si="8"/>
        <v>64.228437968658596</v>
      </c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>
        <f t="shared" si="9"/>
        <v>0</v>
      </c>
    </row>
    <row r="301" spans="1:22" ht="47.25">
      <c r="A301" s="166" t="s">
        <v>249</v>
      </c>
      <c r="B301" s="166" t="s">
        <v>248</v>
      </c>
      <c r="C301" s="158"/>
      <c r="D301" s="159">
        <f>SUM(D302:D303,D305)</f>
        <v>1219.4177653127635</v>
      </c>
      <c r="E301" s="160">
        <f t="shared" si="8"/>
        <v>1219.4177653127635</v>
      </c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>
        <f t="shared" si="9"/>
        <v>0</v>
      </c>
    </row>
    <row r="302" spans="1:22" outlineLevel="1">
      <c r="A302" s="187"/>
      <c r="B302" s="175" t="s">
        <v>14</v>
      </c>
      <c r="C302" s="181" t="s">
        <v>285</v>
      </c>
      <c r="D302" s="184">
        <v>1046.0151666335025</v>
      </c>
      <c r="E302" s="178">
        <f t="shared" si="8"/>
        <v>1046.0151666335025</v>
      </c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>
        <f t="shared" si="9"/>
        <v>0</v>
      </c>
    </row>
    <row r="303" spans="1:22" outlineLevel="1">
      <c r="A303" s="187"/>
      <c r="B303" s="175" t="s">
        <v>17</v>
      </c>
      <c r="C303" s="181" t="s">
        <v>286</v>
      </c>
      <c r="D303" s="189">
        <f>D304</f>
        <v>35.695267561368283</v>
      </c>
      <c r="E303" s="178">
        <f t="shared" si="8"/>
        <v>35.695267561368283</v>
      </c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>
        <f t="shared" si="9"/>
        <v>0</v>
      </c>
    </row>
    <row r="304" spans="1:22" outlineLevel="1">
      <c r="A304" s="139"/>
      <c r="B304" s="140" t="s">
        <v>114</v>
      </c>
      <c r="C304" s="128" t="s">
        <v>272</v>
      </c>
      <c r="D304" s="118">
        <v>35.695267561368283</v>
      </c>
      <c r="E304" s="130">
        <f t="shared" si="8"/>
        <v>35.695267561368283</v>
      </c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>
        <f t="shared" si="9"/>
        <v>0</v>
      </c>
    </row>
    <row r="305" spans="1:22" outlineLevel="1">
      <c r="A305" s="186"/>
      <c r="B305" s="175" t="s">
        <v>20</v>
      </c>
      <c r="C305" s="181" t="s">
        <v>276</v>
      </c>
      <c r="D305" s="184">
        <f>SUM(D306:D307)</f>
        <v>137.70733111789269</v>
      </c>
      <c r="E305" s="178">
        <f t="shared" si="8"/>
        <v>137.70733111789269</v>
      </c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>
        <f t="shared" si="9"/>
        <v>0</v>
      </c>
    </row>
    <row r="306" spans="1:22" outlineLevel="1">
      <c r="A306" s="139"/>
      <c r="B306" s="132" t="s">
        <v>182</v>
      </c>
      <c r="C306" s="128" t="s">
        <v>287</v>
      </c>
      <c r="D306" s="118">
        <v>57.421783657069497</v>
      </c>
      <c r="E306" s="130">
        <f t="shared" si="8"/>
        <v>57.421783657069497</v>
      </c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>
        <f t="shared" si="9"/>
        <v>0</v>
      </c>
    </row>
    <row r="307" spans="1:22" outlineLevel="1">
      <c r="A307" s="139"/>
      <c r="B307" s="132" t="s">
        <v>183</v>
      </c>
      <c r="C307" s="128" t="s">
        <v>272</v>
      </c>
      <c r="D307" s="118">
        <v>80.285547460823196</v>
      </c>
      <c r="E307" s="130">
        <f t="shared" si="8"/>
        <v>80.285547460823196</v>
      </c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>
        <f t="shared" si="9"/>
        <v>0</v>
      </c>
    </row>
    <row r="308" spans="1:22" ht="47.25">
      <c r="A308" s="166" t="s">
        <v>251</v>
      </c>
      <c r="B308" s="166" t="s">
        <v>250</v>
      </c>
      <c r="C308" s="158"/>
      <c r="D308" s="159">
        <f>SUM(D309:D310,D312)</f>
        <v>1219.4177653127635</v>
      </c>
      <c r="E308" s="160">
        <f t="shared" si="8"/>
        <v>1219.4177653127635</v>
      </c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>
        <f t="shared" si="9"/>
        <v>0</v>
      </c>
    </row>
    <row r="309" spans="1:22" outlineLevel="1">
      <c r="A309" s="186"/>
      <c r="B309" s="175" t="s">
        <v>14</v>
      </c>
      <c r="C309" s="181" t="s">
        <v>285</v>
      </c>
      <c r="D309" s="184">
        <v>1046.0151666335025</v>
      </c>
      <c r="E309" s="178">
        <f t="shared" si="8"/>
        <v>1046.0151666335025</v>
      </c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>
        <f t="shared" si="9"/>
        <v>0</v>
      </c>
    </row>
    <row r="310" spans="1:22" outlineLevel="1">
      <c r="A310" s="187"/>
      <c r="B310" s="175" t="s">
        <v>17</v>
      </c>
      <c r="C310" s="181" t="s">
        <v>286</v>
      </c>
      <c r="D310" s="189">
        <f>D311</f>
        <v>35.695267561368283</v>
      </c>
      <c r="E310" s="178">
        <f t="shared" si="8"/>
        <v>35.695267561368283</v>
      </c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>
        <f t="shared" si="9"/>
        <v>0</v>
      </c>
    </row>
    <row r="311" spans="1:22" outlineLevel="1">
      <c r="A311" s="139"/>
      <c r="B311" s="140" t="s">
        <v>114</v>
      </c>
      <c r="C311" s="128" t="s">
        <v>272</v>
      </c>
      <c r="D311" s="118">
        <v>35.695267561368283</v>
      </c>
      <c r="E311" s="130">
        <f t="shared" si="8"/>
        <v>35.695267561368283</v>
      </c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>
        <f t="shared" si="9"/>
        <v>0</v>
      </c>
    </row>
    <row r="312" spans="1:22" outlineLevel="1">
      <c r="A312" s="186"/>
      <c r="B312" s="175" t="s">
        <v>20</v>
      </c>
      <c r="C312" s="181" t="s">
        <v>276</v>
      </c>
      <c r="D312" s="184">
        <f>SUM(D313:D314)</f>
        <v>137.70733111789269</v>
      </c>
      <c r="E312" s="178">
        <f t="shared" si="8"/>
        <v>137.70733111789269</v>
      </c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>
        <f t="shared" si="9"/>
        <v>0</v>
      </c>
    </row>
    <row r="313" spans="1:22" outlineLevel="1">
      <c r="A313" s="139"/>
      <c r="B313" s="132" t="s">
        <v>182</v>
      </c>
      <c r="C313" s="128" t="s">
        <v>287</v>
      </c>
      <c r="D313" s="118">
        <v>57.421783657069497</v>
      </c>
      <c r="E313" s="130">
        <f t="shared" si="8"/>
        <v>57.421783657069497</v>
      </c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>
        <f t="shared" si="9"/>
        <v>0</v>
      </c>
    </row>
    <row r="314" spans="1:22" outlineLevel="1">
      <c r="A314" s="139"/>
      <c r="B314" s="132" t="s">
        <v>183</v>
      </c>
      <c r="C314" s="128" t="s">
        <v>272</v>
      </c>
      <c r="D314" s="118">
        <v>80.285547460823196</v>
      </c>
      <c r="E314" s="130">
        <f t="shared" si="8"/>
        <v>80.285547460823196</v>
      </c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>
        <f t="shared" si="9"/>
        <v>0</v>
      </c>
    </row>
    <row r="315" spans="1:22" ht="47.25">
      <c r="A315" s="166" t="s">
        <v>253</v>
      </c>
      <c r="B315" s="172" t="s">
        <v>252</v>
      </c>
      <c r="C315" s="158"/>
      <c r="D315" s="159">
        <f>SUM(D316+D317+D319)</f>
        <v>2032.9790633089542</v>
      </c>
      <c r="E315" s="160">
        <f t="shared" si="8"/>
        <v>2032.9790633089542</v>
      </c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>
        <f t="shared" si="9"/>
        <v>0</v>
      </c>
    </row>
    <row r="316" spans="1:22" outlineLevel="1">
      <c r="A316" s="186"/>
      <c r="B316" s="175" t="s">
        <v>14</v>
      </c>
      <c r="C316" s="181" t="s">
        <v>285</v>
      </c>
      <c r="D316" s="184">
        <v>1773.3490928292081</v>
      </c>
      <c r="E316" s="178">
        <f t="shared" si="8"/>
        <v>1773.3490928292081</v>
      </c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>
        <f t="shared" si="9"/>
        <v>0</v>
      </c>
    </row>
    <row r="317" spans="1:22" outlineLevel="1">
      <c r="A317" s="187"/>
      <c r="B317" s="175" t="s">
        <v>17</v>
      </c>
      <c r="C317" s="181" t="s">
        <v>286</v>
      </c>
      <c r="D317" s="189">
        <f>D318</f>
        <v>60.515537792796735</v>
      </c>
      <c r="E317" s="178">
        <f t="shared" si="8"/>
        <v>60.515537792796735</v>
      </c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>
        <f t="shared" si="9"/>
        <v>0</v>
      </c>
    </row>
    <row r="318" spans="1:22" outlineLevel="1">
      <c r="A318" s="139"/>
      <c r="B318" s="140" t="s">
        <v>114</v>
      </c>
      <c r="C318" s="128" t="s">
        <v>272</v>
      </c>
      <c r="D318" s="118">
        <v>60.515537792796735</v>
      </c>
      <c r="E318" s="130">
        <f t="shared" si="8"/>
        <v>60.515537792796735</v>
      </c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>
        <f t="shared" si="9"/>
        <v>0</v>
      </c>
    </row>
    <row r="319" spans="1:22" outlineLevel="1">
      <c r="A319" s="186"/>
      <c r="B319" s="175" t="s">
        <v>20</v>
      </c>
      <c r="C319" s="181" t="s">
        <v>276</v>
      </c>
      <c r="D319" s="184">
        <f>SUM(D320:D321)</f>
        <v>199.1144326869495</v>
      </c>
      <c r="E319" s="178">
        <f t="shared" si="8"/>
        <v>199.1144326869495</v>
      </c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>
        <f t="shared" si="9"/>
        <v>0</v>
      </c>
    </row>
    <row r="320" spans="1:22" outlineLevel="1">
      <c r="A320" s="139"/>
      <c r="B320" s="132" t="s">
        <v>182</v>
      </c>
      <c r="C320" s="128" t="s">
        <v>287</v>
      </c>
      <c r="D320" s="118">
        <v>57.421783657069497</v>
      </c>
      <c r="E320" s="130">
        <f t="shared" si="8"/>
        <v>57.421783657069497</v>
      </c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>
        <f t="shared" si="9"/>
        <v>0</v>
      </c>
    </row>
    <row r="321" spans="1:22" outlineLevel="1">
      <c r="A321" s="139"/>
      <c r="B321" s="132" t="s">
        <v>183</v>
      </c>
      <c r="C321" s="128" t="s">
        <v>272</v>
      </c>
      <c r="D321" s="118">
        <v>141.69264902987999</v>
      </c>
      <c r="E321" s="130">
        <f t="shared" si="8"/>
        <v>141.69264902987999</v>
      </c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>
        <f t="shared" si="9"/>
        <v>0</v>
      </c>
    </row>
    <row r="322" spans="1:22" ht="31.5">
      <c r="A322" s="166" t="s">
        <v>255</v>
      </c>
      <c r="B322" s="166" t="s">
        <v>254</v>
      </c>
      <c r="C322" s="158"/>
      <c r="D322" s="159">
        <f>SUM(D323:D324,D328)</f>
        <v>28011.241936285329</v>
      </c>
      <c r="E322" s="160">
        <f t="shared" si="8"/>
        <v>28011.241936285329</v>
      </c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>
        <f t="shared" si="9"/>
        <v>0</v>
      </c>
    </row>
    <row r="323" spans="1:22" outlineLevel="1">
      <c r="A323" s="186"/>
      <c r="B323" s="175" t="s">
        <v>14</v>
      </c>
      <c r="C323" s="181" t="s">
        <v>285</v>
      </c>
      <c r="D323" s="184">
        <v>17445.65165997254</v>
      </c>
      <c r="E323" s="178">
        <f t="shared" si="8"/>
        <v>17445.65165997254</v>
      </c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>
        <f t="shared" si="9"/>
        <v>0</v>
      </c>
    </row>
    <row r="324" spans="1:22" outlineLevel="1">
      <c r="A324" s="187"/>
      <c r="B324" s="175" t="s">
        <v>17</v>
      </c>
      <c r="C324" s="181" t="s">
        <v>286</v>
      </c>
      <c r="D324" s="189">
        <f>SUM(D325:D326)</f>
        <v>10508.168492655721</v>
      </c>
      <c r="E324" s="178">
        <f t="shared" si="8"/>
        <v>10508.168492655721</v>
      </c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>
        <f t="shared" si="9"/>
        <v>0</v>
      </c>
    </row>
    <row r="325" spans="1:22" outlineLevel="1">
      <c r="A325" s="139"/>
      <c r="B325" s="140" t="s">
        <v>114</v>
      </c>
      <c r="C325" s="128" t="s">
        <v>272</v>
      </c>
      <c r="D325" s="118">
        <v>850.47551842366147</v>
      </c>
      <c r="E325" s="130">
        <f t="shared" si="8"/>
        <v>850.47551842366147</v>
      </c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>
        <f t="shared" si="9"/>
        <v>0</v>
      </c>
    </row>
    <row r="326" spans="1:22" outlineLevel="1">
      <c r="A326" s="139"/>
      <c r="B326" s="144" t="s">
        <v>139</v>
      </c>
      <c r="C326" s="128" t="s">
        <v>278</v>
      </c>
      <c r="D326" s="118">
        <v>9657.692974232059</v>
      </c>
      <c r="E326" s="130">
        <f t="shared" ref="E326:E329" si="10">D326-V326</f>
        <v>9657.692974232059</v>
      </c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>
        <f t="shared" ref="V326:V329" si="11">SUM(F326:U326)</f>
        <v>0</v>
      </c>
    </row>
    <row r="327" spans="1:22" outlineLevel="1">
      <c r="A327" s="186"/>
      <c r="B327" s="175" t="s">
        <v>20</v>
      </c>
      <c r="C327" s="181" t="s">
        <v>276</v>
      </c>
      <c r="D327" s="184">
        <f>SUM(D328)</f>
        <v>57.421783657069497</v>
      </c>
      <c r="E327" s="178">
        <f t="shared" si="10"/>
        <v>57.421783657069497</v>
      </c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>
        <f t="shared" si="11"/>
        <v>0</v>
      </c>
    </row>
    <row r="328" spans="1:22" outlineLevel="1">
      <c r="A328" s="139"/>
      <c r="B328" s="132" t="s">
        <v>182</v>
      </c>
      <c r="C328" s="128" t="s">
        <v>287</v>
      </c>
      <c r="D328" s="118">
        <v>57.421783657069497</v>
      </c>
      <c r="E328" s="130">
        <f t="shared" si="10"/>
        <v>57.421783657069497</v>
      </c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>
        <f t="shared" si="11"/>
        <v>0</v>
      </c>
    </row>
    <row r="329" spans="1:22" ht="15.75">
      <c r="A329" s="166" t="s">
        <v>288</v>
      </c>
      <c r="B329" s="173" t="s">
        <v>289</v>
      </c>
      <c r="C329" s="158"/>
      <c r="D329" s="159">
        <v>1164841.19</v>
      </c>
      <c r="E329" s="160">
        <f t="shared" si="10"/>
        <v>1164841.19</v>
      </c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>
        <f t="shared" si="11"/>
        <v>0</v>
      </c>
    </row>
    <row r="330" spans="1:22">
      <c r="A330" s="154"/>
    </row>
  </sheetData>
  <autoFilter ref="A2:V329" xr:uid="{5D159BA3-88DD-4A96-8118-0E61678942F6}"/>
  <mergeCells count="3">
    <mergeCell ref="F3:U3"/>
    <mergeCell ref="Y4:Z4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</vt:lpstr>
      <vt:lpstr>CPU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sthevan.Dev</cp:lastModifiedBy>
  <cp:revision/>
  <dcterms:created xsi:type="dcterms:W3CDTF">2026-04-08T12:40:06Z</dcterms:created>
  <dcterms:modified xsi:type="dcterms:W3CDTF">2026-04-09T00:42:16Z</dcterms:modified>
  <cp:category/>
  <cp:contentStatus/>
</cp:coreProperties>
</file>