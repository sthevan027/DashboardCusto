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E:\Projetos\JL-DashboardCusto\Excel\"/>
    </mc:Choice>
  </mc:AlternateContent>
  <xr:revisionPtr revIDLastSave="0" documentId="8_{1D53811C-4D4C-4936-8830-479AEB05E126}" xr6:coauthVersionLast="47" xr6:coauthVersionMax="47" xr10:uidLastSave="{00000000-0000-0000-0000-000000000000}"/>
  <bookViews>
    <workbookView xWindow="-120" yWindow="330" windowWidth="29040" windowHeight="15990" tabRatio="500" firstSheet="2" activeTab="2" xr2:uid="{00000000-000D-0000-FFFF-FFFF00000000}"/>
  </bookViews>
  <sheets>
    <sheet name="Controle" sheetId="1" r:id="rId1"/>
    <sheet name="CPU" sheetId="2" r:id="rId2"/>
    <sheet name="Dados" sheetId="5" r:id="rId3"/>
    <sheet name="Lancamentos" sheetId="4" r:id="rId4"/>
  </sheets>
  <definedNames>
    <definedName name="_xlnm._FilterDatabase" localSheetId="1" hidden="1">CPU!$C$1:$H$1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7" i="5" l="1"/>
  <c r="F13" i="5"/>
  <c r="F9" i="5" s="1"/>
  <c r="G21" i="5"/>
  <c r="G14" i="5" l="1"/>
  <c r="G15" i="5"/>
  <c r="G16" i="5"/>
  <c r="G17" i="5"/>
  <c r="G18" i="5"/>
  <c r="G19" i="5"/>
  <c r="G20" i="5"/>
  <c r="G53" i="5"/>
  <c r="G46" i="5"/>
  <c r="G47" i="5"/>
  <c r="G48" i="5"/>
  <c r="G49" i="5"/>
  <c r="G39" i="5"/>
  <c r="G40" i="5"/>
  <c r="G41" i="5"/>
  <c r="G42" i="5"/>
  <c r="F401" i="5"/>
  <c r="F398" i="5"/>
  <c r="F396" i="5" s="1"/>
  <c r="F393" i="5"/>
  <c r="F391" i="5"/>
  <c r="F389" i="5"/>
  <c r="F386" i="5"/>
  <c r="F384" i="5"/>
  <c r="F382" i="5"/>
  <c r="F379" i="5"/>
  <c r="F377" i="5"/>
  <c r="F375" i="5"/>
  <c r="F372" i="5"/>
  <c r="F370" i="5"/>
  <c r="F368" i="5"/>
  <c r="F365" i="5"/>
  <c r="F363" i="5"/>
  <c r="F361" i="5" s="1"/>
  <c r="F358" i="5"/>
  <c r="F356" i="5"/>
  <c r="F354" i="5" s="1"/>
  <c r="F351" i="5"/>
  <c r="F348" i="5"/>
  <c r="F345" i="5"/>
  <c r="F342" i="5"/>
  <c r="F339" i="5"/>
  <c r="F336" i="5"/>
  <c r="F333" i="5"/>
  <c r="F330" i="5"/>
  <c r="F327" i="5"/>
  <c r="F324" i="5"/>
  <c r="F321" i="5"/>
  <c r="F318" i="5"/>
  <c r="F315" i="5"/>
  <c r="F312" i="5"/>
  <c r="F302" i="5"/>
  <c r="F298" i="5"/>
  <c r="F294" i="5"/>
  <c r="F292" i="5"/>
  <c r="F288" i="5"/>
  <c r="F284" i="5"/>
  <c r="F282" i="5" s="1"/>
  <c r="F278" i="5"/>
  <c r="F274" i="5"/>
  <c r="F272" i="5" s="1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197" i="5"/>
  <c r="G199" i="5"/>
  <c r="G201" i="5"/>
  <c r="G202" i="5"/>
  <c r="G204" i="5"/>
  <c r="G206" i="5"/>
  <c r="G208" i="5"/>
  <c r="G209" i="5"/>
  <c r="G211" i="5"/>
  <c r="G213" i="5"/>
  <c r="G215" i="5"/>
  <c r="G216" i="5"/>
  <c r="G218" i="5"/>
  <c r="G220" i="5"/>
  <c r="G222" i="5"/>
  <c r="G223" i="5"/>
  <c r="G225" i="5"/>
  <c r="G227" i="5"/>
  <c r="G229" i="5"/>
  <c r="G230" i="5"/>
  <c r="G232" i="5"/>
  <c r="G234" i="5"/>
  <c r="G236" i="5"/>
  <c r="G237" i="5"/>
  <c r="G239" i="5"/>
  <c r="G241" i="5"/>
  <c r="G243" i="5"/>
  <c r="G245" i="5"/>
  <c r="G247" i="5"/>
  <c r="G249" i="5"/>
  <c r="G251" i="5"/>
  <c r="G253" i="5"/>
  <c r="G255" i="5"/>
  <c r="G261" i="5"/>
  <c r="G262" i="5"/>
  <c r="G264" i="5"/>
  <c r="G266" i="5"/>
  <c r="G268" i="5"/>
  <c r="G270" i="5"/>
  <c r="G271" i="5"/>
  <c r="E259" i="5"/>
  <c r="E258" i="5"/>
  <c r="E257" i="5"/>
  <c r="F200" i="5"/>
  <c r="G200" i="5" s="1"/>
  <c r="F198" i="5"/>
  <c r="F207" i="5"/>
  <c r="G207" i="5" s="1"/>
  <c r="F205" i="5"/>
  <c r="G205" i="5" s="1"/>
  <c r="F203" i="5"/>
  <c r="G203" i="5" s="1"/>
  <c r="F214" i="5"/>
  <c r="G214" i="5" s="1"/>
  <c r="F212" i="5"/>
  <c r="G212" i="5" s="1"/>
  <c r="F210" i="5"/>
  <c r="G210" i="5" s="1"/>
  <c r="F221" i="5"/>
  <c r="G221" i="5" s="1"/>
  <c r="F219" i="5"/>
  <c r="G219" i="5" s="1"/>
  <c r="F217" i="5"/>
  <c r="G217" i="5" s="1"/>
  <c r="F226" i="5"/>
  <c r="F228" i="5"/>
  <c r="G228" i="5" s="1"/>
  <c r="F235" i="5"/>
  <c r="G235" i="5" s="1"/>
  <c r="F233" i="5"/>
  <c r="G233" i="5" s="1"/>
  <c r="F231" i="5"/>
  <c r="G231" i="5" s="1"/>
  <c r="F242" i="5"/>
  <c r="G242" i="5" s="1"/>
  <c r="F240" i="5"/>
  <c r="G240" i="5" s="1"/>
  <c r="F238" i="5"/>
  <c r="G238" i="5" s="1"/>
  <c r="F246" i="5"/>
  <c r="F248" i="5"/>
  <c r="G248" i="5" s="1"/>
  <c r="F254" i="5"/>
  <c r="G254" i="5" s="1"/>
  <c r="F252" i="5"/>
  <c r="G252" i="5" s="1"/>
  <c r="F250" i="5"/>
  <c r="G250" i="5" s="1"/>
  <c r="F256" i="5"/>
  <c r="F263" i="5"/>
  <c r="F269" i="5"/>
  <c r="G269" i="5" s="1"/>
  <c r="F267" i="5"/>
  <c r="G267" i="5" s="1"/>
  <c r="F265" i="5"/>
  <c r="G265" i="5" s="1"/>
  <c r="E256" i="5"/>
  <c r="G181" i="5"/>
  <c r="G183" i="5"/>
  <c r="G184" i="5"/>
  <c r="G185" i="5"/>
  <c r="G186" i="5"/>
  <c r="G187" i="5"/>
  <c r="G188" i="5"/>
  <c r="G190" i="5"/>
  <c r="G191" i="5"/>
  <c r="G192" i="5"/>
  <c r="G193" i="5"/>
  <c r="G194" i="5"/>
  <c r="G195" i="5"/>
  <c r="F189" i="5"/>
  <c r="G189" i="5" s="1"/>
  <c r="F182" i="5"/>
  <c r="G182" i="5" s="1"/>
  <c r="F180" i="5"/>
  <c r="G180" i="5" s="1"/>
  <c r="G164" i="5"/>
  <c r="G166" i="5"/>
  <c r="G167" i="5"/>
  <c r="G168" i="5"/>
  <c r="G169" i="5"/>
  <c r="G170" i="5"/>
  <c r="G171" i="5"/>
  <c r="G172" i="5"/>
  <c r="G174" i="5"/>
  <c r="G175" i="5"/>
  <c r="G176" i="5"/>
  <c r="G177" i="5"/>
  <c r="G178" i="5"/>
  <c r="G179" i="5"/>
  <c r="F173" i="5"/>
  <c r="G173" i="5" s="1"/>
  <c r="F165" i="5"/>
  <c r="G165" i="5" s="1"/>
  <c r="F163" i="5"/>
  <c r="G163" i="5" s="1"/>
  <c r="G147" i="5"/>
  <c r="G149" i="5"/>
  <c r="G150" i="5"/>
  <c r="G151" i="5"/>
  <c r="G152" i="5"/>
  <c r="G153" i="5"/>
  <c r="G154" i="5"/>
  <c r="G155" i="5"/>
  <c r="G157" i="5"/>
  <c r="G158" i="5"/>
  <c r="G159" i="5"/>
  <c r="G160" i="5"/>
  <c r="G161" i="5"/>
  <c r="G162" i="5"/>
  <c r="F156" i="5"/>
  <c r="G156" i="5" s="1"/>
  <c r="F148" i="5"/>
  <c r="G133" i="5"/>
  <c r="G135" i="5"/>
  <c r="G136" i="5"/>
  <c r="G137" i="5"/>
  <c r="G138" i="5"/>
  <c r="G139" i="5"/>
  <c r="G140" i="5"/>
  <c r="G142" i="5"/>
  <c r="G143" i="5"/>
  <c r="G144" i="5"/>
  <c r="G145" i="5"/>
  <c r="F141" i="5"/>
  <c r="G141" i="5" s="1"/>
  <c r="F134" i="5"/>
  <c r="G117" i="5"/>
  <c r="G119" i="5"/>
  <c r="G120" i="5"/>
  <c r="G121" i="5"/>
  <c r="G122" i="5"/>
  <c r="G123" i="5"/>
  <c r="G124" i="5"/>
  <c r="G125" i="5"/>
  <c r="G127" i="5"/>
  <c r="G128" i="5"/>
  <c r="G129" i="5"/>
  <c r="G130" i="5"/>
  <c r="G131" i="5"/>
  <c r="F126" i="5"/>
  <c r="G126" i="5" s="1"/>
  <c r="F118" i="5"/>
  <c r="G109" i="5"/>
  <c r="G111" i="5"/>
  <c r="G112" i="5"/>
  <c r="G113" i="5"/>
  <c r="G114" i="5"/>
  <c r="G115" i="5"/>
  <c r="F110" i="5"/>
  <c r="F93" i="5"/>
  <c r="F101" i="5"/>
  <c r="E92" i="5"/>
  <c r="G92" i="5" s="1"/>
  <c r="E93" i="5"/>
  <c r="E94" i="5"/>
  <c r="G94" i="5" s="1"/>
  <c r="E95" i="5"/>
  <c r="G95" i="5" s="1"/>
  <c r="E96" i="5"/>
  <c r="G96" i="5" s="1"/>
  <c r="E97" i="5"/>
  <c r="G97" i="5" s="1"/>
  <c r="E98" i="5"/>
  <c r="G98" i="5" s="1"/>
  <c r="E99" i="5"/>
  <c r="G99" i="5" s="1"/>
  <c r="E100" i="5"/>
  <c r="G100" i="5" s="1"/>
  <c r="E101" i="5"/>
  <c r="E102" i="5"/>
  <c r="G102" i="5" s="1"/>
  <c r="E103" i="5"/>
  <c r="G103" i="5" s="1"/>
  <c r="E104" i="5"/>
  <c r="G104" i="5" s="1"/>
  <c r="E105" i="5"/>
  <c r="G105" i="5" s="1"/>
  <c r="E106" i="5"/>
  <c r="G106" i="5" s="1"/>
  <c r="E107" i="5"/>
  <c r="G107" i="5" s="1"/>
  <c r="E91" i="5"/>
  <c r="G85" i="5"/>
  <c r="G87" i="5"/>
  <c r="G89" i="5"/>
  <c r="G90" i="5"/>
  <c r="F88" i="5"/>
  <c r="G88" i="5" s="1"/>
  <c r="F86" i="5"/>
  <c r="G86" i="5" s="1"/>
  <c r="F84" i="5"/>
  <c r="G84" i="5" s="1"/>
  <c r="G80" i="5"/>
  <c r="G81" i="5"/>
  <c r="G83" i="5"/>
  <c r="F82" i="5"/>
  <c r="G82" i="5" s="1"/>
  <c r="F79" i="5"/>
  <c r="G79" i="5" s="1"/>
  <c r="G77" i="5"/>
  <c r="G78" i="5"/>
  <c r="G73" i="5"/>
  <c r="G75" i="5"/>
  <c r="F76" i="5"/>
  <c r="G76" i="5" s="1"/>
  <c r="F74" i="5"/>
  <c r="G74" i="5" s="1"/>
  <c r="G69" i="5"/>
  <c r="G71" i="5"/>
  <c r="G72" i="5"/>
  <c r="F70" i="5"/>
  <c r="G62" i="5"/>
  <c r="G63" i="5"/>
  <c r="G64" i="5"/>
  <c r="G65" i="5"/>
  <c r="G67" i="5"/>
  <c r="G60" i="5"/>
  <c r="F45" i="5"/>
  <c r="G44" i="5"/>
  <c r="F66" i="5"/>
  <c r="G66" i="5" s="1"/>
  <c r="F61" i="5"/>
  <c r="G61" i="5" s="1"/>
  <c r="F59" i="5"/>
  <c r="G59" i="5" s="1"/>
  <c r="G57" i="5"/>
  <c r="G58" i="5"/>
  <c r="G56" i="5"/>
  <c r="F55" i="5"/>
  <c r="G55" i="5" s="1"/>
  <c r="G24" i="5"/>
  <c r="G25" i="5"/>
  <c r="G26" i="5"/>
  <c r="G27" i="5"/>
  <c r="G28" i="5"/>
  <c r="G29" i="5"/>
  <c r="G30" i="5"/>
  <c r="G31" i="5"/>
  <c r="G33" i="5"/>
  <c r="G34" i="5"/>
  <c r="G35" i="5"/>
  <c r="G36" i="5"/>
  <c r="G37" i="5"/>
  <c r="G38" i="5"/>
  <c r="G54" i="5"/>
  <c r="G51" i="5"/>
  <c r="F52" i="5"/>
  <c r="G22" i="5"/>
  <c r="F23" i="5"/>
  <c r="F32" i="5"/>
  <c r="G32" i="5" s="1"/>
  <c r="G10" i="5"/>
  <c r="G13" i="5"/>
  <c r="F11" i="5"/>
  <c r="G11" i="5" s="1"/>
  <c r="J160" i="2"/>
  <c r="M8" i="5" l="1"/>
  <c r="M6" i="5"/>
  <c r="G9" i="5"/>
  <c r="G23" i="5"/>
  <c r="F21" i="5"/>
  <c r="G45" i="5"/>
  <c r="F43" i="5"/>
  <c r="G43" i="5" s="1"/>
  <c r="G257" i="5"/>
  <c r="G258" i="5"/>
  <c r="G259" i="5"/>
  <c r="G263" i="5"/>
  <c r="F260" i="5"/>
  <c r="G260" i="5" s="1"/>
  <c r="G256" i="5"/>
  <c r="G246" i="5"/>
  <c r="F244" i="5"/>
  <c r="G244" i="5" s="1"/>
  <c r="G226" i="5"/>
  <c r="F224" i="5"/>
  <c r="G224" i="5" s="1"/>
  <c r="G198" i="5"/>
  <c r="F196" i="5"/>
  <c r="G196" i="5" s="1"/>
  <c r="G134" i="5"/>
  <c r="F132" i="5"/>
  <c r="G132" i="5" s="1"/>
  <c r="G148" i="5"/>
  <c r="F146" i="5"/>
  <c r="G146" i="5" s="1"/>
  <c r="G101" i="5"/>
  <c r="G93" i="5"/>
  <c r="F91" i="5"/>
  <c r="G91" i="5" s="1"/>
  <c r="G110" i="5"/>
  <c r="F108" i="5"/>
  <c r="G108" i="5" s="1"/>
  <c r="G118" i="5"/>
  <c r="F116" i="5"/>
  <c r="G116" i="5" s="1"/>
  <c r="G52" i="5"/>
  <c r="F50" i="5"/>
  <c r="G50" i="5" s="1"/>
  <c r="G70" i="5"/>
  <c r="F68" i="5"/>
  <c r="G68" i="5" s="1"/>
  <c r="H66" i="2"/>
  <c r="H48" i="2"/>
  <c r="F19" i="1"/>
  <c r="F18" i="1"/>
  <c r="F17" i="1"/>
  <c r="F16" i="1"/>
  <c r="F15" i="1"/>
  <c r="F13" i="1"/>
  <c r="F12" i="1"/>
  <c r="F11" i="1"/>
  <c r="F10" i="1"/>
  <c r="F9" i="1"/>
  <c r="F8" i="1"/>
  <c r="F7" i="1"/>
  <c r="F6" i="1"/>
  <c r="F5" i="1"/>
  <c r="M7" i="5" l="1"/>
  <c r="M5" i="5"/>
  <c r="F14" i="1"/>
  <c r="F23" i="1" s="1"/>
</calcChain>
</file>

<file path=xl/sharedStrings.xml><?xml version="1.0" encoding="utf-8"?>
<sst xmlns="http://schemas.openxmlformats.org/spreadsheetml/2006/main" count="3553" uniqueCount="325">
  <si>
    <t>Dashboard de Custos</t>
  </si>
  <si>
    <t>Itens</t>
  </si>
  <si>
    <t>Valor Total Previsto</t>
  </si>
  <si>
    <t>Valor Real</t>
  </si>
  <si>
    <t>Discrição</t>
  </si>
  <si>
    <t>Subiten</t>
  </si>
  <si>
    <t>Mão de Obra</t>
  </si>
  <si>
    <t>Equipamento</t>
  </si>
  <si>
    <t>Onibus</t>
  </si>
  <si>
    <t>Guindaste</t>
  </si>
  <si>
    <t>Munck</t>
  </si>
  <si>
    <t>Maquinas pesadas</t>
  </si>
  <si>
    <t>Conteiner</t>
  </si>
  <si>
    <t>Carros Leve</t>
  </si>
  <si>
    <t>Outros</t>
  </si>
  <si>
    <t>materiais</t>
  </si>
  <si>
    <t>Ferramental</t>
  </si>
  <si>
    <t>Consumiveis</t>
  </si>
  <si>
    <t>Andaime</t>
  </si>
  <si>
    <t>Caçamba</t>
  </si>
  <si>
    <t>Total</t>
  </si>
  <si>
    <t>ui</t>
  </si>
  <si>
    <t>GERAL</t>
  </si>
  <si>
    <t>SERVIÇO:</t>
  </si>
  <si>
    <t>Mobilização de equipe e equipamentos</t>
  </si>
  <si>
    <t>ITEM:</t>
  </si>
  <si>
    <t>1.1.1.1.1</t>
  </si>
  <si>
    <t>UNID.:</t>
  </si>
  <si>
    <t>vb</t>
  </si>
  <si>
    <t>ITEM</t>
  </si>
  <si>
    <t>DESCRIÇÃO</t>
  </si>
  <si>
    <t>UNID</t>
  </si>
  <si>
    <t>QUANTIDADE</t>
  </si>
  <si>
    <t>VALOR UNIT.</t>
  </si>
  <si>
    <t>VALOR TOTAL</t>
  </si>
  <si>
    <t>1.0</t>
  </si>
  <si>
    <t>MÃO DE OBRA</t>
  </si>
  <si>
    <t>TOTAL 1.0</t>
  </si>
  <si>
    <t>2.0</t>
  </si>
  <si>
    <t>EQUIPAMENTOS</t>
  </si>
  <si>
    <t>TOTAL 2.0</t>
  </si>
  <si>
    <t>3.0</t>
  </si>
  <si>
    <t>MATERIAIS</t>
  </si>
  <si>
    <t>TOTAL 3.0</t>
  </si>
  <si>
    <t>CUSTO DIRETO (A+B+C)</t>
  </si>
  <si>
    <t>BDI</t>
  </si>
  <si>
    <t>TOTAL GERAL</t>
  </si>
  <si>
    <t>Desmobilização de equipe e equipamentos</t>
  </si>
  <si>
    <t>1.1.1.1.2</t>
  </si>
  <si>
    <t>MOD</t>
  </si>
  <si>
    <t>Mecânico montador</t>
  </si>
  <si>
    <t>h</t>
  </si>
  <si>
    <t>Ajudante de montagem</t>
  </si>
  <si>
    <t>EQUIP</t>
  </si>
  <si>
    <t>REPAROS E IDENIZAÇÕES EM EQUIPAMENTOS DE PEQUENO E MÉDIO PORTE</t>
  </si>
  <si>
    <t>VB</t>
  </si>
  <si>
    <t xml:space="preserve">Exames demissionais </t>
  </si>
  <si>
    <t>MAT/MOD</t>
  </si>
  <si>
    <t>Equipe MOD</t>
  </si>
  <si>
    <t>und</t>
  </si>
  <si>
    <t>Equipe MOI</t>
  </si>
  <si>
    <t>Construção de  Canteiro Completo (Adm, Vestiários, Refeitório, Armazém, etc)</t>
  </si>
  <si>
    <t>1.2.1.1</t>
  </si>
  <si>
    <t>Administração e Manutenção de Canteiro</t>
  </si>
  <si>
    <t>1.2.1.2</t>
  </si>
  <si>
    <t>vb x mês</t>
  </si>
  <si>
    <t>Manutenção de Canteiro</t>
  </si>
  <si>
    <t>Auxiliar de serviços gerais</t>
  </si>
  <si>
    <t>Contêiner Almoxarifado - 6m</t>
  </si>
  <si>
    <t>qnt x mês</t>
  </si>
  <si>
    <t>Contêiner Módulo Habitável Escritório - 6m</t>
  </si>
  <si>
    <t>Contêiner Módulo Habitável Vestiário - 6m</t>
  </si>
  <si>
    <t>Contêiner Módulo Habitável Sanitário com chuveiros - 6m</t>
  </si>
  <si>
    <t>Contêiner Módulo Habitável Sanitário com vasos - 6m</t>
  </si>
  <si>
    <t>Banheiros hidráulicos</t>
  </si>
  <si>
    <t>Limpeza banheiros hidráulicos</t>
  </si>
  <si>
    <t>Caminhão pipa com operador</t>
  </si>
  <si>
    <t>MAT</t>
  </si>
  <si>
    <t>Material de Limpeza e Higienizações - sacos lixo, produto limpeza, sabonete, papel higienico, flanelas, panos, etc</t>
  </si>
  <si>
    <t>mês</t>
  </si>
  <si>
    <t>Material escritório - folhas, grampo, caneta, plásticos, fitas, calculadora, pendrive, pilhas, organizador, clips, prancheta, pastas, etc</t>
  </si>
  <si>
    <t>Impressões ou cópias e plotagens</t>
  </si>
  <si>
    <t>Consumo internet e telefonia</t>
  </si>
  <si>
    <t>Destinação efluentes canteiro de obras</t>
  </si>
  <si>
    <t>Material Copa - água mineral, café, copos, papel toalha, filtro</t>
  </si>
  <si>
    <t>unid</t>
  </si>
  <si>
    <t>Administração Local</t>
  </si>
  <si>
    <t>1.3.1.1</t>
  </si>
  <si>
    <t>Administração local</t>
  </si>
  <si>
    <t>MOI</t>
  </si>
  <si>
    <t>Administrativo</t>
  </si>
  <si>
    <t>Almoxarife</t>
  </si>
  <si>
    <t>Analista de Projeto</t>
  </si>
  <si>
    <t>Auxiliar de Almoxarife</t>
  </si>
  <si>
    <t>Auxiliar de Engenharia</t>
  </si>
  <si>
    <t>Auxiliar de Planejamento</t>
  </si>
  <si>
    <t>Encarregado de Andaime</t>
  </si>
  <si>
    <t>Encarregado de Elétrica</t>
  </si>
  <si>
    <t>Mestre de Montagem</t>
  </si>
  <si>
    <t>Encarregado de Obras Civis</t>
  </si>
  <si>
    <t>Engenheiro de Planejamento</t>
  </si>
  <si>
    <t>Engenheiro de Segurança ou Coordenador de segurança</t>
  </si>
  <si>
    <t>Engenheiro Mecânico</t>
  </si>
  <si>
    <t>Gerente de Contrato</t>
  </si>
  <si>
    <t>Médico do Trabalho ou Tec. De enfermagem (part time)</t>
  </si>
  <si>
    <t>Motorista de veículos leves</t>
  </si>
  <si>
    <t>Supervisor de Montagem</t>
  </si>
  <si>
    <t>Técnico de Medições</t>
  </si>
  <si>
    <t>Técnico de Segurança do Trabalho (campo)</t>
  </si>
  <si>
    <t>Técnico de Segurança do Trabalho (gestão)</t>
  </si>
  <si>
    <t>Técnico de qualidade</t>
  </si>
  <si>
    <t>Técnico em Meio Ambiente</t>
  </si>
  <si>
    <t>Ônibus transporte interno</t>
  </si>
  <si>
    <t>Ônibus viagem extra</t>
  </si>
  <si>
    <t>Veiculo covencionalcom combustível</t>
  </si>
  <si>
    <t>Desmobilização de Canteiro Completo (Adm, Vestiários, Refeitório, Armazém, etc)</t>
  </si>
  <si>
    <t>1.2.1.3</t>
  </si>
  <si>
    <t>Serviços de documentação de obras com time lapse</t>
  </si>
  <si>
    <t>2.1.1.1</t>
  </si>
  <si>
    <t>vbxmês</t>
  </si>
  <si>
    <t>MOT</t>
  </si>
  <si>
    <t>LOCAÇÃO DE EQUIPAMENTOS</t>
  </si>
  <si>
    <t>Elaboração de Projetos Detalhados, vistas, cortes etc. ex. projeto de guarda-corpo e condição insegura.</t>
  </si>
  <si>
    <t>2.1.1.2</t>
  </si>
  <si>
    <t>A1eq.</t>
  </si>
  <si>
    <t>A1 Eq</t>
  </si>
  <si>
    <t>Demolição de concreto armado mecanizado.</t>
  </si>
  <si>
    <t>2.2.1.1.1</t>
  </si>
  <si>
    <t>t</t>
  </si>
  <si>
    <t>MO</t>
  </si>
  <si>
    <t>Oficial polivalente</t>
  </si>
  <si>
    <t>H</t>
  </si>
  <si>
    <t>Auxiliar de obras</t>
  </si>
  <si>
    <t>Sinaleiro</t>
  </si>
  <si>
    <t>SERV</t>
  </si>
  <si>
    <t>Insvetigação</t>
  </si>
  <si>
    <t>Ferramenta de pequeno/médio porte</t>
  </si>
  <si>
    <t>Miniescavadeira com rompedor hidráulico e operador</t>
  </si>
  <si>
    <t>ESCAVADEIRA HIDRÁULICA 21 ton com rompedor</t>
  </si>
  <si>
    <t>Consumíveis para demolição</t>
  </si>
  <si>
    <t>Carga, transporte e descarga de material proveniente de demolições ou desmontes para a área do CMD - Vale. CAÇAMBAS E CAMINHÃO DA CONTRATADA</t>
  </si>
  <si>
    <t>2.2.1.2.1</t>
  </si>
  <si>
    <t>Caminhão basculante com combustível e motorista</t>
  </si>
  <si>
    <t>Retroescavadeira com combustível e Operador</t>
  </si>
  <si>
    <t>Momento extraordinário de transporte de material proveniente de demolições ou desmontes para bota-fora - DMT até 25 km. CAÇAMBAS E CAMINHÃO DA CONTRATADA</t>
  </si>
  <si>
    <t>2.2.1.2.2</t>
  </si>
  <si>
    <t>t x km</t>
  </si>
  <si>
    <t>Destinação final de material de proveniente de demolição, em aterro industrial externo homologado pela Vale</t>
  </si>
  <si>
    <t>2.2.1.2.3</t>
  </si>
  <si>
    <t>T</t>
  </si>
  <si>
    <t xml:space="preserve">CONCRETO NÃO-BOMBEADO EM ESTRUTURA DE FUNDAÇÃO FCK = 30,0 MPa. </t>
  </si>
  <si>
    <t>2.3.1.1.1</t>
  </si>
  <si>
    <t>m³</t>
  </si>
  <si>
    <t>Concreto usinado fck 30MPa</t>
  </si>
  <si>
    <t>m3</t>
  </si>
  <si>
    <t>Controle tecnológico</t>
  </si>
  <si>
    <t>DESMONTAGEM, CARREGAMENTO, SEGREGAÇÃO PREPARAÇÃO E TRANSPORTE ATÉ O CMD VALE DE EQUIPAMENTOS MECÂNICOS - CAÇAMBAS E CAMINHÃO DA CONTRATADA.</t>
  </si>
  <si>
    <t>3.1.1.1</t>
  </si>
  <si>
    <t>Caldeireiro</t>
  </si>
  <si>
    <t>Soldador Chaparia</t>
  </si>
  <si>
    <t>Montador de Andaime</t>
  </si>
  <si>
    <t>Caminhão Munck com combustível e operador</t>
  </si>
  <si>
    <t>Guindaste 30T</t>
  </si>
  <si>
    <t>Coleta caçamba caminhão bruck</t>
  </si>
  <si>
    <t>Carreta 12m com motorista</t>
  </si>
  <si>
    <t>Escavadeira hidráulica com garra sucateira</t>
  </si>
  <si>
    <t>Escavadeira com Tesoura Hidráulica</t>
  </si>
  <si>
    <t>Consumíveis &lt;ferramental&gt;</t>
  </si>
  <si>
    <t>Locação cilindros oxigênio/acetileno</t>
  </si>
  <si>
    <t>Consumo oxigênio</t>
  </si>
  <si>
    <t>Consumo acetileno</t>
  </si>
  <si>
    <t>kg</t>
  </si>
  <si>
    <t>Material de Andaimes</t>
  </si>
  <si>
    <t>Locação caçambas estacionárias</t>
  </si>
  <si>
    <t>Drenagem de óleo e graxa dos equipamentos a serem desmobilizados conforme PRO-022144</t>
  </si>
  <si>
    <t>3.1.1.2</t>
  </si>
  <si>
    <t>Litros</t>
  </si>
  <si>
    <t>MECÂNICO LUBRIFICADOR</t>
  </si>
  <si>
    <t>AJUDANTE DE MONTAGEM</t>
  </si>
  <si>
    <t>EQUI</t>
  </si>
  <si>
    <t>BOMBA DE SUCÇÃO</t>
  </si>
  <si>
    <t>TAMBOR DE AMARZENAMENTO</t>
  </si>
  <si>
    <t>DESMONTAGEM E/OU CARREGAMENTO, SEGREGAÇÃO E PREPARAÇÃO DENTRO DAS CAÇAMBAS DE ESTRUTURAS METÁLICAS, CHUTES, SILOS, CHAPAS, CALHAS E TUBULAÇÕES DN 8", 12", 14", 16, METAL DE TRANSPORTADOR, PIPE-RACK, INCLINADOS OU NA HORIZONTAL E NA VERTICAL BEM COMO OS SUPORTES DESTAS TUBULAÇÕES ETC - CAÇAMBAS E CAMINHÃO DA VALE.</t>
  </si>
  <si>
    <t>3.2.1.1.1</t>
  </si>
  <si>
    <t>Guindaste 160t</t>
  </si>
  <si>
    <t>Equipamento desmontagem</t>
  </si>
  <si>
    <t>LIMPEZA E REMOÇÃO DE MATERIAIS EM EQUIPAMENTOS MECÂNICOS SEGREGAÇÃO E PREPACÃO DENTRO DAS CAÇAMBAS, TRANSPORTE ATÉ O CMD PARA PESAGEM E EMISSÃO DE TICKET E TRANSPORTE ATÉ PÁTIO DE MINÉRIOS INTERNO VALE (TUBARÃO) PARA DESCARREGAMENTO  - CAÇAMBAS E CAMINHÃO DA CONTRATADA.</t>
  </si>
  <si>
    <t>3.3.1.1.1</t>
  </si>
  <si>
    <t>Aux. de Meio Ambiente</t>
  </si>
  <si>
    <t>DESMONTAGEM E/OU CARREGAMENTO, SEGREGAÇÃO E PREPARAÇÃO DENTRO DAS CAÇAMBAS DE PAINEIS, CAIXAS DE COMANDO LOCAL, CAIXAS DE INTERLIGAÇÃO, LEITOS, ELETRODUTOS, CONTROLE E INSTRUMENTAÇÃO, REMOTAS, MOTORES. CAÇAMBAS E CAMINHÃO DA CONTRATADA.</t>
  </si>
  <si>
    <t>3.4.1.1</t>
  </si>
  <si>
    <t>Eletricista de força e controle</t>
  </si>
  <si>
    <t>AJUDANTE ELETRICISTA</t>
  </si>
  <si>
    <t>DESMONTAGEM E/OU CARREGAMENTO, SEGREGAÇÃO E TRANSPORTE PARA DESCARTE DE REOSTATOS LÍQUIDOS E MOTORES DE MÉDIA TENSÃO. CAÇAMBAS E CAMINHÃO DA CONTRATADA.</t>
  </si>
  <si>
    <t>3.4.1.2</t>
  </si>
  <si>
    <t>DESMONTAGEM E/OU CARREGAMENTO, SEGREGAÇÃO E TRANSPORTE PARA DESCARTE DE CABOS ELÉTRICOS TODAS BITOLAS.  CAÇAMBAS E CAMINHÃO DA CONTRATADA.</t>
  </si>
  <si>
    <t>3.4.1.3</t>
  </si>
  <si>
    <t>Relocação de interferências - Ar Comprimido - diâmetro até 4"</t>
  </si>
  <si>
    <t>3.5.1.1</t>
  </si>
  <si>
    <t>m</t>
  </si>
  <si>
    <t>Encanador Industrial</t>
  </si>
  <si>
    <t>Ajudante de Montagem</t>
  </si>
  <si>
    <t>Pintor Industrial</t>
  </si>
  <si>
    <t>Soldador TIG</t>
  </si>
  <si>
    <t>Material de andaimes</t>
  </si>
  <si>
    <t>Consumíveis de instalação</t>
  </si>
  <si>
    <t>Relocação de interferências - Ar Comprimido - diâmetro maior 4" até 8"</t>
  </si>
  <si>
    <t>3.5.1.2</t>
  </si>
  <si>
    <t>Relocação de interferências - Água - diâmetro até 6"</t>
  </si>
  <si>
    <t>3.5.1.3</t>
  </si>
  <si>
    <t>Relocação de interferências - Água - diâmetro maior 6" até 8"</t>
  </si>
  <si>
    <t>3.5.1.4</t>
  </si>
  <si>
    <t>Relocação de interferências - Água - diâmetro maior 8" até 10"</t>
  </si>
  <si>
    <t>3.5.1.5</t>
  </si>
  <si>
    <t>Relocação de interferências - Água - diâmetro maior 10" até 12"</t>
  </si>
  <si>
    <t>3.5.1.6</t>
  </si>
  <si>
    <t>Relocação de interferências - Elétrica cabos até 25 mm² (incluindo eletroduto, bandejamento, eletrocalha e conduletes)</t>
  </si>
  <si>
    <t>3.5.1.7</t>
  </si>
  <si>
    <t>Eletricista de Força e Controle</t>
  </si>
  <si>
    <t>Elétrica cabos até 25 mm² (incluindo eletroduto, bandejamento, eletrocalha e conduletes)</t>
  </si>
  <si>
    <t>M</t>
  </si>
  <si>
    <t>Relocação de interferências - Elétrica cabos até 10 mm²</t>
  </si>
  <si>
    <t>3.5.1.8</t>
  </si>
  <si>
    <t>Relocação de interferências - Automação - Fibra Optica</t>
  </si>
  <si>
    <t>3.5.1.9</t>
  </si>
  <si>
    <t>Fusão em cabo de fibra optica</t>
  </si>
  <si>
    <t>3.5.1.10</t>
  </si>
  <si>
    <t>UNID.</t>
  </si>
  <si>
    <t>Atividade</t>
  </si>
  <si>
    <t xml:space="preserve"> Relocação de interferências - Eletrocalhas 200 x 75 mm galvanizada a fogo</t>
  </si>
  <si>
    <t>3.5.1.11</t>
  </si>
  <si>
    <t>Relocação de Guarda-corpos provenientes de desemontagem que seriam descartadados para corrigir condição insegura.</t>
  </si>
  <si>
    <t>3.5.1.12</t>
  </si>
  <si>
    <t>DESMONTAGEM E/OU CARREGAMENTO, SEGREGAÇÃO E PREPARAÇÃO DENTRO DAS CAÇAMBAS DE TELHAS FIBRICIMENTO. CAÇAMBAS E CAMINHÃO DA CONTRATADA.</t>
  </si>
  <si>
    <t>3.6.1.1</t>
  </si>
  <si>
    <t>DESMONTAGEM E/OU CARREGAMENTO, SEGREGAÇÃO E PREPARAÇÃO DENTRO DAS CAÇAMBAS DE MATERIAL PLASTICOS. CAÇAMBAS E CAMINHÃO DA CONTRATADA.</t>
  </si>
  <si>
    <t>3.6.1.2</t>
  </si>
  <si>
    <t>DESMONTAGEM E/OU CARREGAMENTO, SEGREGAÇÃO E PREPARAÇÃO DENTRO DAS CAÇAMBAS DE MATERIAL EM BORRACHA. CAÇAMBAS E CAMINHÃO DA CONTRATADA.</t>
  </si>
  <si>
    <t>3.6.1.3</t>
  </si>
  <si>
    <t>DESMONTAGEM E/OU CARREGAMENTO, SEGREGAÇÃO E PREPARAÇÃO DENTRO DAS CAÇAMBAS DE MATERIAL EM MADEIRA. CAÇAMBAS E CAMINHÃO DA CONTRATADA.</t>
  </si>
  <si>
    <t>3.6.1.4</t>
  </si>
  <si>
    <t>Fornecimento de tubo de Aço Carbono ASTM A 53 Gr B-S, SCH.STD. WT, C /Extr. para Solda de Topo - Ar Comprimido - diâmetro até 4" para retiradas de interferências incluído conexões, suportes, válvulas etc.</t>
  </si>
  <si>
    <t>4.1.1.1.1</t>
  </si>
  <si>
    <t xml:space="preserve">Fornecimento de tubo de Aço Carbono ASTM A 53 Gr B-S, SCH.STD. WT, C /Extr. para Solda de Topo - Ar Comprimido - diâmetro até 4" </t>
  </si>
  <si>
    <t>Conexões (redução / junta / flange e curvas)</t>
  </si>
  <si>
    <t>Fornecimento de tubo de Aço Carbono ASTM A 53 Gr B-S, SCH.STD. WT, C /Extr. para Solda de Topo - Ar Comprimido - diâmetro maior que 4" até 8" para retiradas de interferências incluído conexões, suportes, válvulas etc.</t>
  </si>
  <si>
    <t>4.1.1.1.2</t>
  </si>
  <si>
    <t>Fornecimento de tubo de Aço Carbono ASTM A 53 Gr B-S, SCH.STD. WT, C /Extr. para Solda de Topo - Ar Comprimido - diâmetro maior que 4" até 8"</t>
  </si>
  <si>
    <t>Fornecimento de tubo de Aço Carbono ASTM A 53 Gr B-S, SCH.STD. WT, C /Extr. para Solda de Topo - Água - diâmetro até 6" para retiradas de interferências incluído conexões, suportes, válvulas etc.</t>
  </si>
  <si>
    <t>4.1.1.1.3</t>
  </si>
  <si>
    <t xml:space="preserve">Fornecimento de tubo de Aço Carbono ASTM A 53 Gr B-S, SCH.STD. WT, C /Extr. para Solda de Topo - Água - diâmetro até 6" </t>
  </si>
  <si>
    <t>Fornecimento de tubo de Aço Carbono ASTM A 53 Gr B-S, SCH.STD. WT, C /Extr. para Solda de Topo - Água - diâmetro maior que 6" até 8" para retiradas de interferências incluído conexões, suportes, válvulas etc.</t>
  </si>
  <si>
    <t>4.1.1.1.4</t>
  </si>
  <si>
    <t>Fornecimento de tubo de Aço Carbono ASTM A 53 Gr B-S, SCH.STD. WT, C /Extr. para Solda de Topo - Água - diâmetro maior que 6" até 8"</t>
  </si>
  <si>
    <t>Fornecimento de tubode Aço Carbono ASTM A 53 Gr B-S, SCH.STD. WT, C /Extr. para Solda de Topo  - Água - diâmetro maior que 8" até 10" para retiradas de interferências incluído conexões, suportes, válvulas etc.</t>
  </si>
  <si>
    <t>4.1.1.1.5</t>
  </si>
  <si>
    <t>Fornecimento de tubode Aço Carbono ASTM A 53 Gr B-S, SCH.STD. WT, C /Extr. para Solda de Topo  - Água - diâmetro maior que 8" até 10"</t>
  </si>
  <si>
    <t>Fornecimento de tubode Aço Carbono ASTM A 53 Gr B-S, SCH.STD. WT, C /Extr. para Solda de Topo  - Água - diâmetro maior que 10" até 12" para retiradas de interferências incluído conexões, suportes, válvulas etc.</t>
  </si>
  <si>
    <t>4.1.1.1.6</t>
  </si>
  <si>
    <t xml:space="preserve">Fornecimento de tubode Aço Carbono ASTM A 53 Gr B-S, SCH.STD. WT, C /Extr. para Solda de Topo  - Água - diâmetro maior que 10" até 12" </t>
  </si>
  <si>
    <t>FABRICAÇÃO E FORNECIMENTO DE ESTRUTURAS METÁLICAS - GUARDA-CORPOS E CONDIÇÕES INSEGURAS- Conforme padrão Vale.</t>
  </si>
  <si>
    <t>4.2.1.1.1</t>
  </si>
  <si>
    <t>GUARDA-CORPO E CORRIMÃO, INCLUINDO PINTURA DE FUNDO E ACABAMENTO</t>
  </si>
  <si>
    <t>Miscelâneas (acessórios, chumbador / parafusos)</t>
  </si>
  <si>
    <t>MONTAGEM de tubo de Aço Carbono ASTM A 53 Gr B-S, SCH.STD. WT, C /Extr. para Solda de Topo - Ar Comprimido - diâmetro até 4" para retiradas de interferências incluído conexões, suportes, válvulas etc.</t>
  </si>
  <si>
    <t>5.1.1.1.1</t>
  </si>
  <si>
    <t>MONTAGEM de tubo de Aço Carbono ASTM A 53 Gr B-S, SCH.STD. WT, C /Extr. para Solda de Topo - Ar Comprimido - diâmetro maior que 4" até 8" para retiradas de interferências incluído conexões, suportes, válvulas etc.</t>
  </si>
  <si>
    <t>5.1.1.1.2</t>
  </si>
  <si>
    <t>MONTAGEM de tubo de Aço Carbono ASTM A 53 Gr B-S, SCH.STD. WT, C /Extr. para Solda de Topo - Água - diâmetro até 6" para retiradas de interferências incluído conexões, suportes, válvulas etc.</t>
  </si>
  <si>
    <t>5.1.1.1.3</t>
  </si>
  <si>
    <t>MONTAGEM de tubo de Aço Carbono ASTM A 53 Gr B-S, SCH.STD. WT, C /Extr. para Solda de Topo - Água - diâmetro maior que 6" até 8" para retiradas de interferências incluído conexões, suportes, válvulas etc.</t>
  </si>
  <si>
    <t>5.1.1.1.4</t>
  </si>
  <si>
    <t>MONTAGEM de tubode Aço Carbono ASTM A 53 Gr B-S, SCH.STD. WT, C /Extr. para Solda de Topo  - Água - diâmetro maior que 8" até 10" para retiradas de interferências incluído conexões, suportes, válvulas etc.</t>
  </si>
  <si>
    <t>5.1.1.1.5</t>
  </si>
  <si>
    <t>MONTAGEM de tubode Aço Carbono ASTM A 53 Gr B-S, SCH.STD. WT, C /Extr. para Solda de Topo  - Água - diâmetro maior que 10" até 12" para retiradas de interferências incluído conexões, suportes, válvulas etc.</t>
  </si>
  <si>
    <t>5.1.1.1.6</t>
  </si>
  <si>
    <t>MONTAGEM DE ESTRUTURAS METÁLICAS - GUARDA-CORPOS E CONDIÇÕES INSEGURAS</t>
  </si>
  <si>
    <t>5.2.1.1.1</t>
  </si>
  <si>
    <t>Soldador chaparia</t>
  </si>
  <si>
    <t>Dados JL</t>
  </si>
  <si>
    <t>Descrição</t>
  </si>
  <si>
    <t>Sub-Grupo</t>
  </si>
  <si>
    <t>QUANT.</t>
  </si>
  <si>
    <t>Valor Unid.</t>
  </si>
  <si>
    <t>Valor total</t>
  </si>
  <si>
    <t>sem BDI</t>
  </si>
  <si>
    <t>Valor total:</t>
  </si>
  <si>
    <t>Mão de Obra:</t>
  </si>
  <si>
    <t>Equipamento:</t>
  </si>
  <si>
    <t>Material:</t>
  </si>
  <si>
    <t>Outro/EQ</t>
  </si>
  <si>
    <t>Exames Demissionais</t>
  </si>
  <si>
    <t>contêiner</t>
  </si>
  <si>
    <t>Banheiro Hidraulicos</t>
  </si>
  <si>
    <t>Limpeza Banheiros</t>
  </si>
  <si>
    <t>maquinas pesadas</t>
  </si>
  <si>
    <t>materai de limpeza</t>
  </si>
  <si>
    <t>materia de escritorio</t>
  </si>
  <si>
    <t>impressoras</t>
  </si>
  <si>
    <t>consumiveis</t>
  </si>
  <si>
    <t>Outro/MT</t>
  </si>
  <si>
    <t>Copa</t>
  </si>
  <si>
    <t>Ônibus</t>
  </si>
  <si>
    <t>ônibus Extra</t>
  </si>
  <si>
    <t>carros</t>
  </si>
  <si>
    <t>Aleq.</t>
  </si>
  <si>
    <t>Outros/MQ</t>
  </si>
  <si>
    <t>Concreto</t>
  </si>
  <si>
    <t>Munk</t>
  </si>
  <si>
    <t>Andaimes</t>
  </si>
  <si>
    <t>caçambas</t>
  </si>
  <si>
    <t>Bomba SB</t>
  </si>
  <si>
    <t>Tambor de amarzenamento</t>
  </si>
  <si>
    <t xml:space="preserve">Escavadeira com Tesoura Hidráulica </t>
  </si>
  <si>
    <t>Equipamento Desmontagem</t>
  </si>
  <si>
    <t>Cabos</t>
  </si>
  <si>
    <t>Tubulação</t>
  </si>
  <si>
    <t>Conexões</t>
  </si>
  <si>
    <t>Guarda-corpo</t>
  </si>
  <si>
    <t>Miscelâneas</t>
  </si>
  <si>
    <t>ferramental</t>
  </si>
  <si>
    <t>6.1.1</t>
  </si>
  <si>
    <t>Serviços extraordinários diversos com utilização de mão de obra e equipamentos</t>
  </si>
  <si>
    <t>Lancamentos de Valores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</si>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</sst>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([$R$ -416]* #,##0.00_);_([$R$ -416]* \(#,##0.00\);_([$R$ -416]* \-??_);_(@_)"/>
    <numFmt numFmtId="165" formatCode="_(* #,##0.00_);_(* \(#,##0.00\);_(* \-??_);_(@_)"/>
    <numFmt numFmtId="166" formatCode="_-* #,##0.00_-;\-* #,##0.00_-;_-* \-??_-;_-@_-"/>
    <numFmt numFmtId="167" formatCode="_-&quot;R$ &quot;* #,##0.00_-;&quot;-R$ &quot;* #,##0.00_-;_-&quot;R$ &quot;* \-??_-;_-@_-"/>
    <numFmt numFmtId="168" formatCode="_(* #,##0.0000_);_(* \(#,##0.0000\);_(* \-??_);_(@_)"/>
    <numFmt numFmtId="169" formatCode="d/m/yyyy"/>
    <numFmt numFmtId="170" formatCode="_-* #,##0.000_-;\-* #,##0.000_-;_-* \-??.0_-;_-@_-"/>
    <numFmt numFmtId="171" formatCode="0.000_ "/>
    <numFmt numFmtId="172" formatCode="0.0000_ "/>
    <numFmt numFmtId="173" formatCode="&quot;R$ &quot;#,##0.00"/>
    <numFmt numFmtId="174" formatCode="_-[$R$-416]\ * #,##0.00_-;\-[$R$-416]\ * #,##0.00_-;_-[$R$-416]\ * \-??_-;_-@_-"/>
    <numFmt numFmtId="175" formatCode="00"/>
    <numFmt numFmtId="176" formatCode="_-[$R$-416]\ * #,##0.00_-;\-[$R$-416]\ * #,##0.00_-;_-[$R$-416]\ * &quot;-&quot;??_-;_-@_-"/>
    <numFmt numFmtId="177" formatCode="_(* #,##0.00_);_(* \(#,##0.00\);_(* &quot;-&quot;??_);_(@_)"/>
  </numFmts>
  <fonts count="39">
    <font>
      <sz val="11"/>
      <color theme="1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sz val="10"/>
      <color rgb="FF000000"/>
      <name val="Helvetica Neue"/>
      <charset val="134"/>
    </font>
    <font>
      <b/>
      <sz val="10"/>
      <color theme="0"/>
      <name val="Arial"/>
      <family val="2"/>
      <charset val="1"/>
    </font>
    <font>
      <b/>
      <sz val="14"/>
      <color theme="0"/>
      <name val="Arial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Calibri"/>
      <family val="2"/>
      <charset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Arial"/>
      <family val="2"/>
    </font>
    <font>
      <b/>
      <sz val="14"/>
      <name val="Arial"/>
      <family val="2"/>
    </font>
    <font>
      <b/>
      <sz val="14"/>
      <color theme="1"/>
      <name val="Calibri"/>
      <family val="2"/>
      <charset val="1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6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name val="Arial"/>
      <family val="2"/>
      <charset val="1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charset val="1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sz val="16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/>
      <sz val="14"/>
      <color theme="1"/>
      <name val="Calibri"/>
      <family val="2"/>
    </font>
    <font>
      <sz val="10"/>
      <name val="Arial"/>
      <family val="2"/>
    </font>
    <font>
      <sz val="14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rgb="FF8FAADC"/>
      </patternFill>
    </fill>
    <fill>
      <patternFill patternType="solid">
        <fgColor theme="4" tint="0.39988402966399123"/>
        <bgColor rgb="FFA6A6A6"/>
      </patternFill>
    </fill>
    <fill>
      <patternFill patternType="solid">
        <fgColor theme="8" tint="-0.499984740745262"/>
        <bgColor rgb="FF003366"/>
      </patternFill>
    </fill>
    <fill>
      <patternFill patternType="solid">
        <fgColor theme="0"/>
        <bgColor rgb="FFFFFFCC"/>
      </patternFill>
    </fill>
    <fill>
      <patternFill patternType="solid">
        <fgColor theme="8" tint="0.79927976317636651"/>
        <bgColor rgb="FFD9D9D9"/>
      </patternFill>
    </fill>
    <fill>
      <patternFill patternType="solid">
        <fgColor rgb="FFBFBFBF"/>
        <bgColor rgb="FFA6A6A6"/>
      </patternFill>
    </fill>
    <fill>
      <patternFill patternType="solid">
        <fgColor rgb="FFD9D9D9"/>
        <bgColor rgb="FFDEEBF7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3">
    <xf numFmtId="0" fontId="0" fillId="0" borderId="0"/>
    <xf numFmtId="167" fontId="13" fillId="0" borderId="0" applyBorder="0" applyProtection="0"/>
    <xf numFmtId="0" fontId="1" fillId="0" borderId="0"/>
    <xf numFmtId="0" fontId="13" fillId="0" borderId="0"/>
    <xf numFmtId="164" fontId="2" fillId="0" borderId="0"/>
    <xf numFmtId="0" fontId="1" fillId="0" borderId="0"/>
    <xf numFmtId="0" fontId="3" fillId="0" borderId="0" applyBorder="0" applyProtection="0">
      <alignment vertical="top" wrapText="1"/>
    </xf>
    <xf numFmtId="0" fontId="1" fillId="0" borderId="0"/>
    <xf numFmtId="0" fontId="13" fillId="0" borderId="0"/>
    <xf numFmtId="0" fontId="1" fillId="0" borderId="0"/>
    <xf numFmtId="0" fontId="13" fillId="0" borderId="0"/>
    <xf numFmtId="0" fontId="1" fillId="0" borderId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6" fontId="13" fillId="0" borderId="0" applyBorder="0" applyProtection="0"/>
    <xf numFmtId="166" fontId="13" fillId="0" borderId="0" applyBorder="0" applyProtection="0"/>
    <xf numFmtId="166" fontId="13" fillId="0" borderId="0" applyBorder="0" applyProtection="0"/>
    <xf numFmtId="43" fontId="18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237">
    <xf numFmtId="0" fontId="0" fillId="0" borderId="0" xfId="0"/>
    <xf numFmtId="0" fontId="0" fillId="2" borderId="2" xfId="0" applyFill="1" applyBorder="1" applyAlignment="1">
      <alignment horizontal="center" vertical="center"/>
    </xf>
    <xf numFmtId="17" fontId="0" fillId="0" borderId="0" xfId="0" applyNumberFormat="1"/>
    <xf numFmtId="0" fontId="0" fillId="3" borderId="2" xfId="0" applyFill="1" applyBorder="1"/>
    <xf numFmtId="0" fontId="0" fillId="3" borderId="3" xfId="0" applyFill="1" applyBorder="1" applyAlignment="1">
      <alignment horizontal="left" vertical="center"/>
    </xf>
    <xf numFmtId="167" fontId="13" fillId="3" borderId="3" xfId="1" applyFill="1" applyBorder="1" applyAlignment="1" applyProtection="1">
      <alignment horizontal="center" vertical="center"/>
    </xf>
    <xf numFmtId="167" fontId="13" fillId="3" borderId="4" xfId="1" applyFill="1" applyBorder="1" applyAlignment="1" applyProtection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left" vertical="center"/>
    </xf>
    <xf numFmtId="167" fontId="13" fillId="0" borderId="3" xfId="1" applyBorder="1" applyAlignment="1" applyProtection="1">
      <alignment horizontal="center" vertical="center"/>
    </xf>
    <xf numFmtId="167" fontId="13" fillId="0" borderId="4" xfId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/>
    <xf numFmtId="167" fontId="0" fillId="2" borderId="6" xfId="0" applyNumberFormat="1" applyFill="1" applyBorder="1" applyAlignment="1">
      <alignment horizontal="center" vertical="center"/>
    </xf>
    <xf numFmtId="0" fontId="4" fillId="4" borderId="7" xfId="6" applyFont="1" applyFill="1" applyBorder="1" applyAlignment="1" applyProtection="1">
      <alignment horizontal="left" vertical="center"/>
    </xf>
    <xf numFmtId="0" fontId="5" fillId="4" borderId="7" xfId="6" applyFont="1" applyFill="1" applyBorder="1" applyAlignment="1" applyProtection="1">
      <alignment horizontal="center" vertical="center"/>
    </xf>
    <xf numFmtId="0" fontId="5" fillId="4" borderId="8" xfId="6" applyFont="1" applyFill="1" applyBorder="1" applyAlignment="1" applyProtection="1">
      <alignment horizontal="center" vertical="center"/>
    </xf>
    <xf numFmtId="0" fontId="0" fillId="5" borderId="0" xfId="0" applyFill="1"/>
    <xf numFmtId="0" fontId="6" fillId="6" borderId="9" xfId="6" applyFont="1" applyFill="1" applyBorder="1" applyAlignment="1" applyProtection="1">
      <alignment vertical="center"/>
    </xf>
    <xf numFmtId="0" fontId="6" fillId="6" borderId="10" xfId="6" applyFont="1" applyFill="1" applyBorder="1" applyAlignment="1" applyProtection="1">
      <alignment vertical="center" wrapText="1"/>
    </xf>
    <xf numFmtId="168" fontId="6" fillId="6" borderId="10" xfId="13" applyNumberFormat="1" applyFont="1" applyFill="1" applyBorder="1" applyAlignment="1" applyProtection="1">
      <alignment horizontal="right" vertical="center"/>
    </xf>
    <xf numFmtId="166" fontId="6" fillId="6" borderId="10" xfId="15" applyFont="1" applyFill="1" applyBorder="1" applyAlignment="1" applyProtection="1">
      <alignment vertical="center"/>
    </xf>
    <xf numFmtId="166" fontId="6" fillId="6" borderId="11" xfId="15" applyFont="1" applyFill="1" applyBorder="1" applyAlignment="1" applyProtection="1">
      <alignment vertical="center"/>
    </xf>
    <xf numFmtId="0" fontId="6" fillId="6" borderId="12" xfId="6" applyFont="1" applyFill="1" applyBorder="1" applyAlignment="1" applyProtection="1">
      <alignment vertical="center"/>
    </xf>
    <xf numFmtId="49" fontId="6" fillId="6" borderId="0" xfId="6" applyNumberFormat="1" applyFont="1" applyFill="1" applyBorder="1" applyAlignment="1" applyProtection="1">
      <alignment horizontal="left" vertical="center" wrapText="1"/>
    </xf>
    <xf numFmtId="0" fontId="6" fillId="6" borderId="0" xfId="6" applyFont="1" applyFill="1" applyBorder="1" applyAlignment="1" applyProtection="1">
      <alignment vertical="center" wrapText="1"/>
    </xf>
    <xf numFmtId="168" fontId="6" fillId="6" borderId="0" xfId="13" applyNumberFormat="1" applyFont="1" applyFill="1" applyBorder="1" applyAlignment="1" applyProtection="1">
      <alignment horizontal="right" vertical="center"/>
    </xf>
    <xf numFmtId="169" fontId="7" fillId="6" borderId="13" xfId="6" applyNumberFormat="1" applyFont="1" applyFill="1" applyBorder="1" applyAlignment="1" applyProtection="1">
      <alignment horizontal="center" vertical="center"/>
    </xf>
    <xf numFmtId="166" fontId="7" fillId="6" borderId="14" xfId="6" applyNumberFormat="1" applyFont="1" applyFill="1" applyBorder="1" applyAlignment="1" applyProtection="1">
      <alignment vertical="center"/>
    </xf>
    <xf numFmtId="0" fontId="7" fillId="7" borderId="3" xfId="6" applyFont="1" applyFill="1" applyBorder="1" applyAlignment="1" applyProtection="1">
      <alignment vertical="center"/>
    </xf>
    <xf numFmtId="168" fontId="7" fillId="7" borderId="3" xfId="13" applyNumberFormat="1" applyFont="1" applyFill="1" applyBorder="1" applyAlignment="1" applyProtection="1">
      <alignment vertical="center"/>
    </xf>
    <xf numFmtId="0" fontId="7" fillId="7" borderId="3" xfId="6" applyFont="1" applyFill="1" applyBorder="1" applyAlignment="1" applyProtection="1"/>
    <xf numFmtId="166" fontId="7" fillId="7" borderId="3" xfId="15" applyFont="1" applyFill="1" applyBorder="1" applyAlignment="1" applyProtection="1">
      <alignment horizontal="center"/>
    </xf>
    <xf numFmtId="0" fontId="7" fillId="0" borderId="15" xfId="6" applyFont="1" applyBorder="1" applyAlignment="1" applyProtection="1">
      <alignment horizontal="center" vertical="center"/>
    </xf>
    <xf numFmtId="0" fontId="7" fillId="0" borderId="16" xfId="6" applyFont="1" applyBorder="1" applyAlignment="1" applyProtection="1">
      <alignment vertical="center"/>
    </xf>
    <xf numFmtId="0" fontId="8" fillId="0" borderId="16" xfId="6" applyFont="1" applyBorder="1" applyAlignment="1" applyProtection="1">
      <alignment horizontal="center" vertical="center"/>
    </xf>
    <xf numFmtId="168" fontId="8" fillId="0" borderId="17" xfId="13" applyNumberFormat="1" applyFont="1" applyBorder="1" applyAlignment="1" applyProtection="1">
      <alignment horizontal="center" vertical="center"/>
    </xf>
    <xf numFmtId="166" fontId="7" fillId="0" borderId="17" xfId="15" applyFont="1" applyBorder="1" applyAlignment="1" applyProtection="1">
      <alignment horizontal="center" vertical="center"/>
    </xf>
    <xf numFmtId="166" fontId="7" fillId="0" borderId="16" xfId="15" applyFont="1" applyBorder="1" applyAlignment="1" applyProtection="1">
      <alignment horizontal="center" vertical="center"/>
    </xf>
    <xf numFmtId="0" fontId="8" fillId="0" borderId="15" xfId="6" applyFont="1" applyBorder="1" applyAlignment="1" applyProtection="1">
      <alignment horizontal="center" vertical="center"/>
    </xf>
    <xf numFmtId="0" fontId="8" fillId="0" borderId="16" xfId="6" applyFont="1" applyBorder="1" applyAlignment="1" applyProtection="1">
      <alignment vertical="center"/>
    </xf>
    <xf numFmtId="0" fontId="8" fillId="0" borderId="17" xfId="6" applyFont="1" applyBorder="1" applyAlignment="1" applyProtection="1">
      <alignment horizontal="center" vertical="center"/>
    </xf>
    <xf numFmtId="166" fontId="9" fillId="0" borderId="17" xfId="15" applyFont="1" applyBorder="1" applyAlignment="1" applyProtection="1">
      <alignment horizontal="center" vertical="center"/>
    </xf>
    <xf numFmtId="166" fontId="8" fillId="0" borderId="16" xfId="15" applyFont="1" applyBorder="1" applyAlignment="1" applyProtection="1">
      <alignment horizontal="center" vertical="center"/>
    </xf>
    <xf numFmtId="0" fontId="8" fillId="0" borderId="16" xfId="6" applyFont="1" applyBorder="1" applyAlignment="1" applyProtection="1">
      <alignment horizontal="left" vertical="center"/>
    </xf>
    <xf numFmtId="168" fontId="8" fillId="0" borderId="15" xfId="13" applyNumberFormat="1" applyFont="1" applyBorder="1" applyAlignment="1" applyProtection="1">
      <alignment horizontal="center" vertical="center"/>
    </xf>
    <xf numFmtId="166" fontId="8" fillId="0" borderId="17" xfId="15" applyFont="1" applyBorder="1" applyAlignment="1" applyProtection="1">
      <alignment horizontal="center" vertical="center"/>
    </xf>
    <xf numFmtId="0" fontId="7" fillId="8" borderId="3" xfId="6" applyFont="1" applyFill="1" applyBorder="1" applyAlignment="1" applyProtection="1">
      <alignment vertical="center"/>
    </xf>
    <xf numFmtId="168" fontId="7" fillId="8" borderId="3" xfId="13" applyNumberFormat="1" applyFont="1" applyFill="1" applyBorder="1" applyAlignment="1" applyProtection="1">
      <alignment vertical="center"/>
    </xf>
    <xf numFmtId="166" fontId="7" fillId="0" borderId="3" xfId="15" applyFont="1" applyBorder="1" applyAlignment="1" applyProtection="1">
      <alignment horizontal="center" vertical="center"/>
    </xf>
    <xf numFmtId="0" fontId="7" fillId="0" borderId="18" xfId="6" applyFont="1" applyBorder="1" applyAlignment="1" applyProtection="1">
      <alignment horizontal="center" vertical="center"/>
    </xf>
    <xf numFmtId="0" fontId="7" fillId="0" borderId="18" xfId="6" applyFont="1" applyBorder="1" applyAlignment="1" applyProtection="1">
      <alignment vertical="center"/>
    </xf>
    <xf numFmtId="0" fontId="8" fillId="0" borderId="18" xfId="6" applyFont="1" applyBorder="1" applyAlignment="1" applyProtection="1">
      <alignment horizontal="center" vertical="center"/>
    </xf>
    <xf numFmtId="168" fontId="8" fillId="0" borderId="18" xfId="13" applyNumberFormat="1" applyFont="1" applyBorder="1" applyAlignment="1" applyProtection="1">
      <alignment vertical="center"/>
    </xf>
    <xf numFmtId="166" fontId="8" fillId="0" borderId="18" xfId="15" applyFont="1" applyBorder="1" applyAlignment="1" applyProtection="1">
      <alignment vertical="center"/>
    </xf>
    <xf numFmtId="0" fontId="8" fillId="0" borderId="16" xfId="6" applyFont="1" applyBorder="1" applyAlignment="1" applyProtection="1">
      <alignment vertical="center" wrapText="1"/>
    </xf>
    <xf numFmtId="168" fontId="8" fillId="0" borderId="17" xfId="12" applyNumberFormat="1" applyFont="1" applyBorder="1" applyAlignment="1" applyProtection="1">
      <alignment horizontal="right" vertical="center"/>
    </xf>
    <xf numFmtId="166" fontId="8" fillId="0" borderId="15" xfId="15" applyFont="1" applyBorder="1" applyAlignment="1" applyProtection="1">
      <alignment horizontal="center" vertical="center"/>
    </xf>
    <xf numFmtId="166" fontId="9" fillId="0" borderId="16" xfId="15" applyFont="1" applyBorder="1" applyAlignment="1" applyProtection="1">
      <alignment horizontal="center" vertical="center"/>
    </xf>
    <xf numFmtId="168" fontId="8" fillId="0" borderId="18" xfId="13" applyNumberFormat="1" applyFont="1" applyBorder="1" applyAlignment="1" applyProtection="1">
      <alignment horizontal="center" vertical="center"/>
    </xf>
    <xf numFmtId="166" fontId="8" fillId="0" borderId="18" xfId="15" applyFont="1" applyBorder="1" applyAlignment="1" applyProtection="1">
      <alignment horizontal="center" vertical="center"/>
    </xf>
    <xf numFmtId="0" fontId="8" fillId="0" borderId="17" xfId="6" applyFont="1" applyBorder="1" applyAlignment="1" applyProtection="1">
      <alignment vertical="center"/>
    </xf>
    <xf numFmtId="0" fontId="10" fillId="7" borderId="19" xfId="6" applyFont="1" applyFill="1" applyBorder="1" applyAlignment="1" applyProtection="1">
      <alignment vertical="center"/>
    </xf>
    <xf numFmtId="0" fontId="10" fillId="7" borderId="7" xfId="6" applyFont="1" applyFill="1" applyBorder="1" applyAlignment="1" applyProtection="1">
      <alignment vertical="center"/>
    </xf>
    <xf numFmtId="168" fontId="10" fillId="7" borderId="7" xfId="13" applyNumberFormat="1" applyFont="1" applyFill="1" applyBorder="1" applyAlignment="1" applyProtection="1">
      <alignment vertical="center"/>
    </xf>
    <xf numFmtId="0" fontId="10" fillId="7" borderId="8" xfId="6" applyFont="1" applyFill="1" applyBorder="1" applyAlignment="1" applyProtection="1">
      <alignment vertical="center"/>
    </xf>
    <xf numFmtId="165" fontId="7" fillId="0" borderId="3" xfId="13" applyFont="1" applyBorder="1" applyAlignment="1" applyProtection="1">
      <alignment horizontal="right" vertical="center"/>
    </xf>
    <xf numFmtId="0" fontId="8" fillId="0" borderId="16" xfId="5" applyFont="1" applyBorder="1" applyAlignment="1">
      <alignment vertical="center"/>
    </xf>
    <xf numFmtId="165" fontId="8" fillId="0" borderId="17" xfId="12" applyFont="1" applyBorder="1" applyAlignment="1" applyProtection="1">
      <alignment horizontal="right" vertical="center"/>
    </xf>
    <xf numFmtId="166" fontId="0" fillId="0" borderId="0" xfId="0" applyNumberFormat="1"/>
    <xf numFmtId="0" fontId="9" fillId="0" borderId="16" xfId="6" applyFont="1" applyBorder="1" applyAlignment="1" applyProtection="1">
      <alignment vertical="center" wrapText="1"/>
    </xf>
    <xf numFmtId="168" fontId="8" fillId="0" borderId="20" xfId="13" applyNumberFormat="1" applyFont="1" applyBorder="1" applyAlignment="1" applyProtection="1">
      <alignment horizontal="center" vertical="center"/>
    </xf>
    <xf numFmtId="0" fontId="9" fillId="0" borderId="16" xfId="6" applyFont="1" applyBorder="1" applyAlignment="1" applyProtection="1">
      <alignment vertical="center"/>
    </xf>
    <xf numFmtId="0" fontId="8" fillId="5" borderId="16" xfId="6" applyFont="1" applyFill="1" applyBorder="1" applyAlignment="1" applyProtection="1">
      <alignment horizontal="center" vertical="center"/>
    </xf>
    <xf numFmtId="0" fontId="8" fillId="5" borderId="17" xfId="6" applyFont="1" applyFill="1" applyBorder="1" applyAlignment="1" applyProtection="1">
      <alignment vertical="center"/>
    </xf>
    <xf numFmtId="168" fontId="8" fillId="5" borderId="15" xfId="13" applyNumberFormat="1" applyFont="1" applyFill="1" applyBorder="1" applyAlignment="1" applyProtection="1">
      <alignment horizontal="center" vertical="center"/>
    </xf>
    <xf numFmtId="166" fontId="9" fillId="5" borderId="17" xfId="15" applyFont="1" applyFill="1" applyBorder="1" applyAlignment="1" applyProtection="1">
      <alignment horizontal="center" vertical="center"/>
    </xf>
    <xf numFmtId="166" fontId="8" fillId="5" borderId="16" xfId="15" applyFont="1" applyFill="1" applyBorder="1" applyAlignment="1" applyProtection="1">
      <alignment horizontal="center" vertical="center"/>
    </xf>
    <xf numFmtId="168" fontId="8" fillId="0" borderId="16" xfId="13" applyNumberFormat="1" applyFont="1" applyBorder="1" applyAlignment="1" applyProtection="1">
      <alignment horizontal="center" vertical="center"/>
    </xf>
    <xf numFmtId="166" fontId="8" fillId="5" borderId="17" xfId="15" applyFont="1" applyFill="1" applyBorder="1" applyAlignment="1" applyProtection="1">
      <alignment horizontal="center" vertical="center"/>
    </xf>
    <xf numFmtId="0" fontId="7" fillId="0" borderId="17" xfId="6" applyFont="1" applyBorder="1" applyAlignment="1" applyProtection="1">
      <alignment vertical="center"/>
    </xf>
    <xf numFmtId="0" fontId="9" fillId="5" borderId="16" xfId="6" applyFont="1" applyFill="1" applyBorder="1" applyAlignment="1" applyProtection="1">
      <alignment vertical="center"/>
    </xf>
    <xf numFmtId="168" fontId="8" fillId="5" borderId="17" xfId="13" applyNumberFormat="1" applyFont="1" applyFill="1" applyBorder="1" applyAlignment="1" applyProtection="1">
      <alignment horizontal="center" vertical="center"/>
    </xf>
    <xf numFmtId="166" fontId="8" fillId="5" borderId="15" xfId="15" applyFont="1" applyFill="1" applyBorder="1" applyAlignment="1" applyProtection="1">
      <alignment horizontal="center" vertical="center"/>
    </xf>
    <xf numFmtId="0" fontId="8" fillId="0" borderId="20" xfId="6" applyFont="1" applyBorder="1" applyAlignment="1" applyProtection="1">
      <alignment horizontal="center" vertical="center"/>
    </xf>
    <xf numFmtId="0" fontId="8" fillId="0" borderId="20" xfId="6" applyFont="1" applyBorder="1" applyAlignment="1" applyProtection="1">
      <alignment vertical="center" wrapText="1"/>
    </xf>
    <xf numFmtId="166" fontId="8" fillId="0" borderId="20" xfId="15" applyFont="1" applyBorder="1" applyAlignment="1" applyProtection="1">
      <alignment horizontal="center" vertical="center"/>
    </xf>
    <xf numFmtId="0" fontId="8" fillId="0" borderId="3" xfId="6" applyFont="1" applyBorder="1" applyAlignment="1" applyProtection="1">
      <alignment horizontal="center" vertical="center"/>
    </xf>
    <xf numFmtId="0" fontId="8" fillId="0" borderId="3" xfId="6" applyFont="1" applyBorder="1" applyAlignment="1" applyProtection="1">
      <alignment vertical="center" wrapText="1"/>
    </xf>
    <xf numFmtId="168" fontId="8" fillId="0" borderId="3" xfId="13" applyNumberFormat="1" applyFont="1" applyBorder="1" applyAlignment="1" applyProtection="1">
      <alignment horizontal="center" vertical="center"/>
    </xf>
    <xf numFmtId="166" fontId="8" fillId="0" borderId="21" xfId="15" applyFont="1" applyBorder="1" applyAlignment="1" applyProtection="1">
      <alignment horizontal="center" vertical="center"/>
    </xf>
    <xf numFmtId="166" fontId="8" fillId="5" borderId="21" xfId="15" applyFont="1" applyFill="1" applyBorder="1" applyAlignment="1" applyProtection="1">
      <alignment horizontal="center" vertical="center"/>
    </xf>
    <xf numFmtId="0" fontId="7" fillId="8" borderId="22" xfId="6" applyFont="1" applyFill="1" applyBorder="1" applyAlignment="1" applyProtection="1">
      <alignment vertical="center"/>
    </xf>
    <xf numFmtId="168" fontId="7" fillId="8" borderId="22" xfId="13" applyNumberFormat="1" applyFont="1" applyFill="1" applyBorder="1" applyAlignment="1" applyProtection="1">
      <alignment vertical="center"/>
    </xf>
    <xf numFmtId="166" fontId="7" fillId="0" borderId="22" xfId="15" applyFont="1" applyBorder="1" applyAlignment="1" applyProtection="1">
      <alignment horizontal="center" vertical="center"/>
    </xf>
    <xf numFmtId="0" fontId="8" fillId="0" borderId="17" xfId="6" applyFont="1" applyBorder="1" applyAlignment="1" applyProtection="1">
      <alignment vertical="center" wrapText="1"/>
    </xf>
    <xf numFmtId="166" fontId="8" fillId="0" borderId="16" xfId="17" applyFont="1" applyBorder="1" applyAlignment="1" applyProtection="1">
      <alignment horizontal="center" vertical="center"/>
    </xf>
    <xf numFmtId="168" fontId="8" fillId="0" borderId="17" xfId="14" applyNumberFormat="1" applyFont="1" applyBorder="1" applyAlignment="1" applyProtection="1">
      <alignment horizontal="center" vertical="center"/>
    </xf>
    <xf numFmtId="165" fontId="8" fillId="0" borderId="15" xfId="13" applyFont="1" applyBorder="1" applyAlignment="1" applyProtection="1">
      <alignment horizontal="center" vertical="center"/>
    </xf>
    <xf numFmtId="165" fontId="7" fillId="8" borderId="3" xfId="13" applyFont="1" applyFill="1" applyBorder="1" applyAlignment="1" applyProtection="1">
      <alignment vertical="center"/>
    </xf>
    <xf numFmtId="165" fontId="8" fillId="0" borderId="18" xfId="13" applyFont="1" applyBorder="1" applyAlignment="1" applyProtection="1">
      <alignment vertical="center"/>
    </xf>
    <xf numFmtId="165" fontId="8" fillId="5" borderId="17" xfId="13" applyFont="1" applyFill="1" applyBorder="1" applyAlignment="1" applyProtection="1">
      <alignment horizontal="center" vertical="center"/>
    </xf>
    <xf numFmtId="165" fontId="8" fillId="0" borderId="17" xfId="13" applyFont="1" applyBorder="1" applyAlignment="1" applyProtection="1">
      <alignment horizontal="center" vertical="center"/>
    </xf>
    <xf numFmtId="165" fontId="8" fillId="0" borderId="18" xfId="13" applyFont="1" applyBorder="1" applyAlignment="1" applyProtection="1">
      <alignment horizontal="center" vertical="center"/>
    </xf>
    <xf numFmtId="0" fontId="9" fillId="0" borderId="16" xfId="6" applyFont="1" applyBorder="1" applyAlignment="1" applyProtection="1">
      <alignment horizontal="center" vertical="center"/>
    </xf>
    <xf numFmtId="168" fontId="9" fillId="0" borderId="17" xfId="12" applyNumberFormat="1" applyFont="1" applyBorder="1" applyAlignment="1" applyProtection="1">
      <alignment horizontal="right" vertical="center"/>
    </xf>
    <xf numFmtId="0" fontId="10" fillId="5" borderId="0" xfId="6" applyFont="1" applyFill="1" applyBorder="1" applyAlignment="1" applyProtection="1">
      <alignment vertical="center"/>
    </xf>
    <xf numFmtId="168" fontId="10" fillId="5" borderId="0" xfId="13" applyNumberFormat="1" applyFont="1" applyFill="1" applyBorder="1" applyAlignment="1" applyProtection="1">
      <alignment vertical="center"/>
    </xf>
    <xf numFmtId="166" fontId="7" fillId="5" borderId="0" xfId="15" applyFont="1" applyFill="1" applyBorder="1" applyAlignment="1" applyProtection="1">
      <alignment horizontal="center" vertical="center"/>
    </xf>
    <xf numFmtId="170" fontId="8" fillId="0" borderId="17" xfId="12" applyNumberFormat="1" applyFont="1" applyBorder="1" applyAlignment="1" applyProtection="1">
      <alignment horizontal="right" vertical="center"/>
    </xf>
    <xf numFmtId="0" fontId="8" fillId="0" borderId="20" xfId="6" applyFont="1" applyBorder="1" applyAlignment="1" applyProtection="1">
      <alignment vertical="center"/>
    </xf>
    <xf numFmtId="171" fontId="8" fillId="0" borderId="17" xfId="13" applyNumberFormat="1" applyFont="1" applyBorder="1" applyAlignment="1" applyProtection="1">
      <alignment horizontal="right" vertical="center"/>
    </xf>
    <xf numFmtId="166" fontId="8" fillId="0" borderId="17" xfId="13" applyNumberFormat="1" applyFont="1" applyBorder="1" applyAlignment="1" applyProtection="1">
      <alignment horizontal="center" vertical="center"/>
    </xf>
    <xf numFmtId="170" fontId="8" fillId="0" borderId="16" xfId="13" applyNumberFormat="1" applyFont="1" applyBorder="1" applyAlignment="1" applyProtection="1">
      <alignment horizontal="center" vertical="center"/>
    </xf>
    <xf numFmtId="168" fontId="8" fillId="0" borderId="17" xfId="6" applyNumberFormat="1" applyFont="1" applyBorder="1" applyAlignment="1" applyProtection="1">
      <alignment vertical="center"/>
    </xf>
    <xf numFmtId="166" fontId="9" fillId="0" borderId="16" xfId="16" applyFont="1" applyBorder="1" applyAlignment="1" applyProtection="1">
      <alignment horizontal="center" vertical="center"/>
    </xf>
    <xf numFmtId="172" fontId="8" fillId="0" borderId="17" xfId="13" applyNumberFormat="1" applyFont="1" applyBorder="1" applyAlignment="1" applyProtection="1">
      <alignment horizontal="right" vertical="center"/>
    </xf>
    <xf numFmtId="0" fontId="0" fillId="5" borderId="0" xfId="0" applyFill="1" applyAlignment="1">
      <alignment horizontal="center"/>
    </xf>
    <xf numFmtId="173" fontId="0" fillId="5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8" fontId="0" fillId="0" borderId="0" xfId="0" applyNumberFormat="1"/>
    <xf numFmtId="0" fontId="17" fillId="9" borderId="23" xfId="6" applyFont="1" applyFill="1" applyBorder="1" applyAlignment="1">
      <alignment vertical="center" wrapText="1"/>
    </xf>
    <xf numFmtId="0" fontId="16" fillId="9" borderId="23" xfId="6" applyFont="1" applyFill="1" applyBorder="1" applyAlignment="1">
      <alignment vertical="center"/>
    </xf>
    <xf numFmtId="0" fontId="14" fillId="9" borderId="0" xfId="6" applyFont="1" applyFill="1" applyBorder="1" applyAlignment="1">
      <alignment vertical="center" wrapText="1"/>
    </xf>
    <xf numFmtId="0" fontId="0" fillId="9" borderId="0" xfId="0" applyFill="1"/>
    <xf numFmtId="14" fontId="16" fillId="9" borderId="0" xfId="6" applyNumberFormat="1" applyFont="1" applyFill="1" applyBorder="1" applyAlignment="1">
      <alignment horizontal="center" vertical="center"/>
    </xf>
    <xf numFmtId="176" fontId="0" fillId="9" borderId="0" xfId="0" applyNumberFormat="1" applyFill="1" applyAlignment="1">
      <alignment vertical="center"/>
    </xf>
    <xf numFmtId="0" fontId="15" fillId="9" borderId="0" xfId="6" applyFont="1" applyFill="1" applyBorder="1" applyAlignment="1">
      <alignment vertical="center"/>
    </xf>
    <xf numFmtId="176" fontId="15" fillId="9" borderId="0" xfId="15" applyNumberFormat="1" applyFont="1" applyFill="1" applyBorder="1" applyAlignment="1">
      <alignment vertical="center"/>
    </xf>
    <xf numFmtId="0" fontId="17" fillId="9" borderId="0" xfId="6" applyFont="1" applyFill="1" applyBorder="1" applyAlignment="1">
      <alignment vertical="center"/>
    </xf>
    <xf numFmtId="176" fontId="16" fillId="9" borderId="0" xfId="15" applyNumberFormat="1" applyFont="1" applyFill="1" applyBorder="1" applyAlignment="1">
      <alignment vertical="center"/>
    </xf>
    <xf numFmtId="0" fontId="17" fillId="9" borderId="23" xfId="6" applyFont="1" applyFill="1" applyBorder="1" applyAlignment="1">
      <alignment vertical="center"/>
    </xf>
    <xf numFmtId="0" fontId="16" fillId="9" borderId="23" xfId="6" applyFont="1" applyFill="1" applyBorder="1" applyAlignment="1">
      <alignment vertical="center" wrapText="1"/>
    </xf>
    <xf numFmtId="176" fontId="16" fillId="9" borderId="23" xfId="15" applyNumberFormat="1" applyFont="1" applyFill="1" applyBorder="1" applyAlignment="1">
      <alignment horizontal="center" vertical="center"/>
    </xf>
    <xf numFmtId="166" fontId="11" fillId="0" borderId="23" xfId="15" applyFont="1" applyBorder="1" applyAlignment="1" applyProtection="1">
      <alignment horizontal="center" vertical="center" wrapText="1"/>
    </xf>
    <xf numFmtId="174" fontId="11" fillId="0" borderId="23" xfId="15" applyNumberFormat="1" applyFont="1" applyBorder="1" applyAlignment="1" applyProtection="1">
      <alignment horizontal="center" vertical="center" wrapText="1"/>
    </xf>
    <xf numFmtId="0" fontId="0" fillId="0" borderId="23" xfId="0" applyBorder="1"/>
    <xf numFmtId="0" fontId="0" fillId="0" borderId="23" xfId="0" applyBorder="1" applyAlignment="1">
      <alignment horizontal="center" vertical="center"/>
    </xf>
    <xf numFmtId="0" fontId="25" fillId="0" borderId="23" xfId="0" applyFont="1" applyBorder="1"/>
    <xf numFmtId="0" fontId="25" fillId="0" borderId="0" xfId="0" applyFont="1"/>
    <xf numFmtId="0" fontId="23" fillId="10" borderId="23" xfId="6" quotePrefix="1" applyFont="1" applyFill="1" applyBorder="1" applyAlignment="1">
      <alignment vertical="center" wrapText="1"/>
    </xf>
    <xf numFmtId="0" fontId="22" fillId="10" borderId="0" xfId="0" applyFont="1" applyFill="1"/>
    <xf numFmtId="0" fontId="23" fillId="10" borderId="23" xfId="6" applyFont="1" applyFill="1" applyBorder="1" applyAlignment="1">
      <alignment vertical="center" wrapText="1"/>
    </xf>
    <xf numFmtId="175" fontId="21" fillId="10" borderId="23" xfId="2" applyNumberFormat="1" applyFont="1" applyFill="1" applyBorder="1" applyAlignment="1">
      <alignment horizontal="left" vertical="center" wrapText="1"/>
    </xf>
    <xf numFmtId="0" fontId="21" fillId="10" borderId="23" xfId="7" applyFont="1" applyFill="1" applyBorder="1" applyAlignment="1">
      <alignment horizontal="left" vertical="center" wrapText="1"/>
    </xf>
    <xf numFmtId="0" fontId="23" fillId="10" borderId="0" xfId="6" applyFont="1" applyFill="1" applyBorder="1" applyAlignment="1">
      <alignment vertical="center"/>
    </xf>
    <xf numFmtId="14" fontId="24" fillId="10" borderId="0" xfId="6" applyNumberFormat="1" applyFont="1" applyFill="1" applyBorder="1" applyAlignment="1">
      <alignment horizontal="center" vertical="center"/>
    </xf>
    <xf numFmtId="176" fontId="24" fillId="10" borderId="0" xfId="15" applyNumberFormat="1" applyFont="1" applyFill="1" applyBorder="1" applyAlignment="1">
      <alignment vertical="center"/>
    </xf>
    <xf numFmtId="176" fontId="22" fillId="10" borderId="0" xfId="0" applyNumberFormat="1" applyFont="1" applyFill="1" applyAlignment="1">
      <alignment vertical="center"/>
    </xf>
    <xf numFmtId="176" fontId="0" fillId="0" borderId="23" xfId="0" applyNumberFormat="1" applyBorder="1" applyAlignment="1">
      <alignment horizontal="center" vertical="center"/>
    </xf>
    <xf numFmtId="166" fontId="11" fillId="0" borderId="23" xfId="15" applyFont="1" applyBorder="1" applyAlignment="1" applyProtection="1">
      <alignment vertical="center" wrapText="1"/>
    </xf>
    <xf numFmtId="0" fontId="25" fillId="0" borderId="23" xfId="0" applyFont="1" applyBorder="1" applyAlignment="1">
      <alignment horizontal="center" vertical="center"/>
    </xf>
    <xf numFmtId="0" fontId="0" fillId="9" borderId="23" xfId="0" applyFill="1" applyBorder="1" applyAlignment="1">
      <alignment wrapText="1"/>
    </xf>
    <xf numFmtId="0" fontId="22" fillId="10" borderId="23" xfId="0" applyFont="1" applyFill="1" applyBorder="1" applyAlignment="1">
      <alignment wrapText="1"/>
    </xf>
    <xf numFmtId="0" fontId="0" fillId="0" borderId="0" xfId="0" applyAlignment="1">
      <alignment wrapText="1"/>
    </xf>
    <xf numFmtId="166" fontId="2" fillId="0" borderId="23" xfId="15" applyFont="1" applyBorder="1" applyAlignment="1" applyProtection="1">
      <alignment vertical="center" wrapText="1"/>
    </xf>
    <xf numFmtId="166" fontId="27" fillId="0" borderId="23" xfId="15" applyFont="1" applyBorder="1" applyAlignment="1" applyProtection="1">
      <alignment vertical="center" wrapText="1"/>
    </xf>
    <xf numFmtId="49" fontId="23" fillId="10" borderId="23" xfId="6" applyNumberFormat="1" applyFont="1" applyFill="1" applyBorder="1" applyAlignment="1">
      <alignment vertical="center" wrapText="1"/>
    </xf>
    <xf numFmtId="175" fontId="21" fillId="10" borderId="23" xfId="2" applyNumberFormat="1" applyFont="1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/>
    </xf>
    <xf numFmtId="0" fontId="15" fillId="11" borderId="23" xfId="6" applyFont="1" applyFill="1" applyBorder="1" applyAlignment="1">
      <alignment vertical="center"/>
    </xf>
    <xf numFmtId="176" fontId="16" fillId="11" borderId="23" xfId="15" applyNumberFormat="1" applyFont="1" applyFill="1" applyBorder="1" applyAlignment="1">
      <alignment horizontal="center" vertical="center"/>
    </xf>
    <xf numFmtId="176" fontId="0" fillId="11" borderId="23" xfId="0" applyNumberFormat="1" applyFont="1" applyFill="1" applyBorder="1" applyAlignment="1">
      <alignment horizontal="center" vertical="center"/>
    </xf>
    <xf numFmtId="0" fontId="28" fillId="11" borderId="23" xfId="6" applyFont="1" applyFill="1" applyBorder="1" applyAlignment="1">
      <alignment vertical="center"/>
    </xf>
    <xf numFmtId="176" fontId="30" fillId="11" borderId="23" xfId="15" applyNumberFormat="1" applyFont="1" applyFill="1" applyBorder="1" applyAlignment="1">
      <alignment horizontal="center" vertical="center"/>
    </xf>
    <xf numFmtId="176" fontId="31" fillId="11" borderId="23" xfId="0" applyNumberFormat="1" applyFont="1" applyFill="1" applyBorder="1" applyAlignment="1">
      <alignment horizontal="center" vertical="center"/>
    </xf>
    <xf numFmtId="176" fontId="31" fillId="11" borderId="23" xfId="0" applyNumberFormat="1" applyFont="1" applyFill="1" applyBorder="1" applyAlignment="1">
      <alignment horizontal="center" vertical="center" wrapText="1"/>
    </xf>
    <xf numFmtId="176" fontId="32" fillId="11" borderId="23" xfId="0" applyNumberFormat="1" applyFont="1" applyFill="1" applyBorder="1" applyAlignment="1">
      <alignment horizontal="center" vertical="center"/>
    </xf>
    <xf numFmtId="166" fontId="12" fillId="0" borderId="23" xfId="15" applyFont="1" applyBorder="1" applyAlignment="1" applyProtection="1">
      <alignment horizontal="center" vertical="center" wrapText="1"/>
    </xf>
    <xf numFmtId="176" fontId="11" fillId="0" borderId="23" xfId="15" applyNumberFormat="1" applyFont="1" applyBorder="1" applyAlignment="1" applyProtection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176" fontId="25" fillId="0" borderId="23" xfId="0" applyNumberFormat="1" applyFont="1" applyBorder="1" applyAlignment="1">
      <alignment horizontal="center" vertical="center"/>
    </xf>
    <xf numFmtId="14" fontId="16" fillId="9" borderId="23" xfId="6" applyNumberFormat="1" applyFont="1" applyFill="1" applyBorder="1" applyAlignment="1">
      <alignment horizontal="center" vertical="center"/>
    </xf>
    <xf numFmtId="14" fontId="16" fillId="11" borderId="23" xfId="6" applyNumberFormat="1" applyFont="1" applyFill="1" applyBorder="1" applyAlignment="1">
      <alignment horizontal="center" vertical="center"/>
    </xf>
    <xf numFmtId="4" fontId="20" fillId="9" borderId="23" xfId="18" applyNumberFormat="1" applyFont="1" applyFill="1" applyBorder="1" applyAlignment="1">
      <alignment horizontal="center" vertical="center" wrapText="1"/>
    </xf>
    <xf numFmtId="0" fontId="20" fillId="9" borderId="23" xfId="2" applyFont="1" applyFill="1" applyBorder="1" applyAlignment="1" applyProtection="1">
      <alignment horizontal="center" vertical="center" wrapText="1"/>
      <protection locked="0"/>
    </xf>
    <xf numFmtId="0" fontId="20" fillId="9" borderId="23" xfId="11" applyFont="1" applyFill="1" applyBorder="1" applyAlignment="1" applyProtection="1">
      <alignment horizontal="center" vertical="center" wrapText="1"/>
      <protection locked="0"/>
    </xf>
    <xf numFmtId="166" fontId="12" fillId="0" borderId="23" xfId="15" applyFont="1" applyBorder="1" applyAlignment="1" applyProtection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25" fillId="0" borderId="23" xfId="0" applyFont="1" applyBorder="1" applyAlignment="1">
      <alignment horizontal="left" vertical="center" wrapText="1"/>
    </xf>
    <xf numFmtId="0" fontId="26" fillId="10" borderId="23" xfId="0" applyFont="1" applyFill="1" applyBorder="1" applyAlignment="1">
      <alignment horizontal="left" vertical="center"/>
    </xf>
    <xf numFmtId="0" fontId="28" fillId="11" borderId="23" xfId="6" applyFont="1" applyFill="1" applyBorder="1" applyAlignment="1">
      <alignment horizontal="left" vertical="center"/>
    </xf>
    <xf numFmtId="0" fontId="0" fillId="9" borderId="23" xfId="0" applyFill="1" applyBorder="1" applyAlignment="1">
      <alignment horizontal="left" vertical="center"/>
    </xf>
    <xf numFmtId="0" fontId="0" fillId="9" borderId="23" xfId="0" applyFill="1" applyBorder="1" applyAlignment="1">
      <alignment horizontal="left" vertical="center" wrapText="1"/>
    </xf>
    <xf numFmtId="0" fontId="16" fillId="9" borderId="23" xfId="6" applyFont="1" applyFill="1" applyBorder="1" applyAlignment="1">
      <alignment horizontal="left" vertical="center"/>
    </xf>
    <xf numFmtId="0" fontId="15" fillId="11" borderId="23" xfId="6" applyFont="1" applyFill="1" applyBorder="1" applyAlignment="1">
      <alignment horizontal="left" vertical="center"/>
    </xf>
    <xf numFmtId="0" fontId="29" fillId="11" borderId="23" xfId="0" applyFont="1" applyFill="1" applyBorder="1" applyAlignment="1">
      <alignment horizontal="left" vertical="center"/>
    </xf>
    <xf numFmtId="0" fontId="26" fillId="11" borderId="2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0" fontId="0" fillId="0" borderId="0" xfId="22" applyNumberFormat="1" applyFont="1"/>
    <xf numFmtId="174" fontId="0" fillId="0" borderId="23" xfId="0" applyNumberFormat="1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176" fontId="35" fillId="10" borderId="23" xfId="0" applyNumberFormat="1" applyFont="1" applyFill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6" fontId="22" fillId="10" borderId="0" xfId="0" applyNumberFormat="1" applyFont="1" applyFill="1"/>
    <xf numFmtId="167" fontId="36" fillId="0" borderId="0" xfId="1" applyFont="1"/>
    <xf numFmtId="0" fontId="37" fillId="11" borderId="24" xfId="20" applyFont="1" applyFill="1" applyBorder="1" applyAlignment="1" applyProtection="1">
      <alignment horizontal="center" vertical="center" wrapText="1"/>
      <protection locked="0"/>
    </xf>
    <xf numFmtId="0" fontId="37" fillId="9" borderId="24" xfId="20" applyFont="1" applyFill="1" applyBorder="1" applyAlignment="1" applyProtection="1">
      <alignment horizontal="center" vertical="center" wrapText="1"/>
      <protection locked="0"/>
    </xf>
    <xf numFmtId="0" fontId="37" fillId="10" borderId="24" xfId="20" applyFont="1" applyFill="1" applyBorder="1" applyAlignment="1" applyProtection="1">
      <alignment horizontal="center" vertical="center" wrapText="1"/>
      <protection locked="0"/>
    </xf>
    <xf numFmtId="176" fontId="0" fillId="0" borderId="0" xfId="0" applyNumberFormat="1"/>
    <xf numFmtId="0" fontId="0" fillId="10" borderId="23" xfId="0" applyFont="1" applyFill="1" applyBorder="1" applyAlignment="1">
      <alignment horizontal="center" vertical="center"/>
    </xf>
    <xf numFmtId="0" fontId="32" fillId="11" borderId="23" xfId="0" applyFont="1" applyFill="1" applyBorder="1" applyAlignment="1">
      <alignment horizontal="center" vertical="center"/>
    </xf>
    <xf numFmtId="0" fontId="0" fillId="9" borderId="23" xfId="0" applyFont="1" applyFill="1" applyBorder="1" applyAlignment="1">
      <alignment horizontal="center" vertical="center"/>
    </xf>
    <xf numFmtId="0" fontId="0" fillId="11" borderId="23" xfId="0" applyFont="1" applyFill="1" applyBorder="1" applyAlignment="1">
      <alignment horizontal="center" vertical="center"/>
    </xf>
    <xf numFmtId="0" fontId="31" fillId="11" borderId="23" xfId="0" applyFont="1" applyFill="1" applyBorder="1" applyAlignment="1">
      <alignment horizontal="center" vertical="center"/>
    </xf>
    <xf numFmtId="4" fontId="20" fillId="10" borderId="23" xfId="18" applyNumberFormat="1" applyFont="1" applyFill="1" applyBorder="1" applyAlignment="1">
      <alignment horizontal="center" vertical="center" wrapText="1"/>
    </xf>
    <xf numFmtId="4" fontId="33" fillId="11" borderId="23" xfId="18" applyNumberFormat="1" applyFont="1" applyFill="1" applyBorder="1" applyAlignment="1">
      <alignment horizontal="center" vertical="center" wrapText="1"/>
    </xf>
    <xf numFmtId="4" fontId="13" fillId="10" borderId="0" xfId="10" applyNumberFormat="1" applyFont="1" applyFill="1" applyAlignment="1">
      <alignment vertical="center"/>
    </xf>
    <xf numFmtId="4" fontId="13" fillId="0" borderId="0" xfId="10" applyNumberFormat="1" applyFont="1" applyAlignment="1">
      <alignment vertical="center"/>
    </xf>
    <xf numFmtId="4" fontId="20" fillId="11" borderId="23" xfId="18" applyNumberFormat="1" applyFont="1" applyFill="1" applyBorder="1" applyAlignment="1">
      <alignment horizontal="center" vertical="center" wrapText="1"/>
    </xf>
    <xf numFmtId="4" fontId="20" fillId="10" borderId="23" xfId="21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16" fillId="10" borderId="23" xfId="6" applyNumberFormat="1" applyFont="1" applyFill="1" applyBorder="1" applyAlignment="1">
      <alignment horizontal="center" vertical="center"/>
    </xf>
    <xf numFmtId="14" fontId="30" fillId="11" borderId="23" xfId="6" applyNumberFormat="1" applyFont="1" applyFill="1" applyBorder="1" applyAlignment="1">
      <alignment horizontal="center" vertical="center"/>
    </xf>
    <xf numFmtId="176" fontId="0" fillId="9" borderId="23" xfId="0" applyNumberFormat="1" applyFont="1" applyFill="1" applyBorder="1" applyAlignment="1">
      <alignment horizontal="center" vertical="center"/>
    </xf>
    <xf numFmtId="0" fontId="20" fillId="10" borderId="23" xfId="2" applyFont="1" applyFill="1" applyBorder="1" applyAlignment="1" applyProtection="1">
      <alignment horizontal="center" vertical="center" wrapText="1"/>
      <protection locked="0"/>
    </xf>
    <xf numFmtId="0" fontId="33" fillId="11" borderId="23" xfId="2" applyFont="1" applyFill="1" applyBorder="1" applyAlignment="1" applyProtection="1">
      <alignment horizontal="center" vertical="center" wrapText="1"/>
      <protection locked="0"/>
    </xf>
    <xf numFmtId="0" fontId="20" fillId="10" borderId="23" xfId="11" applyFont="1" applyFill="1" applyBorder="1" applyAlignment="1" applyProtection="1">
      <alignment horizontal="center" vertical="center" wrapText="1"/>
      <protection locked="0"/>
    </xf>
    <xf numFmtId="0" fontId="33" fillId="11" borderId="23" xfId="11" applyFont="1" applyFill="1" applyBorder="1" applyAlignment="1" applyProtection="1">
      <alignment horizontal="center" vertical="center" wrapText="1"/>
      <protection locked="0"/>
    </xf>
    <xf numFmtId="0" fontId="20" fillId="11" borderId="23" xfId="2" applyFont="1" applyFill="1" applyBorder="1" applyAlignment="1" applyProtection="1">
      <alignment horizontal="center" vertical="center" wrapText="1"/>
      <protection locked="0"/>
    </xf>
    <xf numFmtId="176" fontId="38" fillId="10" borderId="23" xfId="15" applyNumberFormat="1" applyFont="1" applyFill="1" applyBorder="1" applyAlignment="1">
      <alignment horizontal="center" vertical="center"/>
    </xf>
    <xf numFmtId="0" fontId="20" fillId="10" borderId="23" xfId="10" applyFont="1" applyFill="1" applyBorder="1" applyAlignment="1" applyProtection="1">
      <alignment horizontal="center" vertical="center"/>
      <protection locked="0"/>
    </xf>
    <xf numFmtId="0" fontId="25" fillId="0" borderId="3" xfId="0" applyFont="1" applyBorder="1"/>
    <xf numFmtId="0" fontId="22" fillId="10" borderId="3" xfId="0" applyFont="1" applyFill="1" applyBorder="1"/>
    <xf numFmtId="176" fontId="36" fillId="10" borderId="3" xfId="0" applyNumberFormat="1" applyFont="1" applyFill="1" applyBorder="1"/>
    <xf numFmtId="176" fontId="22" fillId="10" borderId="3" xfId="0" applyNumberFormat="1" applyFont="1" applyFill="1" applyBorder="1"/>
    <xf numFmtId="167" fontId="36" fillId="0" borderId="3" xfId="1" applyFont="1" applyBorder="1"/>
    <xf numFmtId="166" fontId="11" fillId="0" borderId="23" xfId="15" applyFont="1" applyBorder="1" applyAlignment="1" applyProtection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3">
    <cellStyle name="Moeda" xfId="1" builtinId="4"/>
    <cellStyle name="Normal" xfId="0" builtinId="0"/>
    <cellStyle name="Normal 10 2 10" xfId="20" xr:uid="{F50E548B-870F-422B-8A2D-40E5AAD19723}"/>
    <cellStyle name="Normal 10 2 10 2" xfId="2" xr:uid="{00000000-0005-0000-0000-000006000000}"/>
    <cellStyle name="Normal 11 3" xfId="3" xr:uid="{00000000-0005-0000-0000-000007000000}"/>
    <cellStyle name="Normal 2 17" xfId="4" xr:uid="{00000000-0005-0000-0000-000008000000}"/>
    <cellStyle name="Normal 2 2 2 2 2" xfId="5" xr:uid="{00000000-0005-0000-0000-000009000000}"/>
    <cellStyle name="Normal 2 3 2 5" xfId="6" xr:uid="{00000000-0005-0000-0000-00000A000000}"/>
    <cellStyle name="Normal 3 11 4" xfId="7" xr:uid="{00000000-0005-0000-0000-00000B000000}"/>
    <cellStyle name="Normal 35" xfId="8" xr:uid="{00000000-0005-0000-0000-00000C000000}"/>
    <cellStyle name="Normal 4 4" xfId="9" xr:uid="{00000000-0005-0000-0000-00000D000000}"/>
    <cellStyle name="Normal 6" xfId="10" xr:uid="{00000000-0005-0000-0000-00000E000000}"/>
    <cellStyle name="Normal_GU-E-445_PQs_Fornecimento_Equipamentos_Mecanicos_Rev_4 2 2" xfId="11" xr:uid="{00000000-0005-0000-0000-00000F000000}"/>
    <cellStyle name="Porcentagem" xfId="22" builtinId="5"/>
    <cellStyle name="Vírgula 12" xfId="12" xr:uid="{00000000-0005-0000-0000-000010000000}"/>
    <cellStyle name="Vírgula 2 2 2" xfId="21" xr:uid="{A899E0CD-536D-435D-BE2C-27E030D4FE46}"/>
    <cellStyle name="Vírgula 2 7 2" xfId="13" xr:uid="{00000000-0005-0000-0000-000011000000}"/>
    <cellStyle name="Vírgula 2 7 2 2" xfId="14" xr:uid="{00000000-0005-0000-0000-000012000000}"/>
    <cellStyle name="Vírgula 2 7 4" xfId="19" xr:uid="{C2B99A27-B74E-4E7B-8C65-95353B75DCC7}"/>
    <cellStyle name="Vírgula 5 2" xfId="18" xr:uid="{3F544448-7A8B-4A21-B6B4-0F09192DE73F}"/>
    <cellStyle name="Vírgula 5 2 2" xfId="15" xr:uid="{00000000-0005-0000-0000-000013000000}"/>
    <cellStyle name="Vírgula 5 2 2 2" xfId="16" xr:uid="{00000000-0005-0000-0000-000014000000}"/>
    <cellStyle name="Vírgula 5 2 2 3" xfId="17" xr:uid="{00000000-0005-0000-0000-00001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T23"/>
  <sheetViews>
    <sheetView zoomScaleNormal="100" workbookViewId="0">
      <selection activeCell="E7" sqref="E7:F7"/>
    </sheetView>
  </sheetViews>
  <sheetFormatPr defaultColWidth="8.7109375" defaultRowHeight="15"/>
  <cols>
    <col min="3" max="3" width="10.85546875" customWidth="1"/>
    <col min="4" max="4" width="19" customWidth="1"/>
    <col min="5" max="5" width="17.42578125" customWidth="1"/>
    <col min="6" max="6" width="28.28515625" customWidth="1"/>
    <col min="7" max="7" width="27.5703125" customWidth="1"/>
    <col min="8" max="8" width="13.28515625" customWidth="1"/>
  </cols>
  <sheetData>
    <row r="2" spans="4:20">
      <c r="D2" s="232" t="s">
        <v>0</v>
      </c>
      <c r="E2" s="232"/>
      <c r="F2" s="232"/>
      <c r="G2" s="232"/>
    </row>
    <row r="3" spans="4:20">
      <c r="D3" s="233" t="s">
        <v>1</v>
      </c>
      <c r="E3" s="233"/>
      <c r="F3" s="234" t="s">
        <v>2</v>
      </c>
      <c r="G3" s="235" t="s">
        <v>3</v>
      </c>
    </row>
    <row r="4" spans="4:20">
      <c r="D4" s="1" t="s">
        <v>4</v>
      </c>
      <c r="E4" s="163" t="s">
        <v>5</v>
      </c>
      <c r="F4" s="234"/>
      <c r="G4" s="23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4:20">
      <c r="D5" s="3" t="s">
        <v>6</v>
      </c>
      <c r="E5" s="4" t="s">
        <v>6</v>
      </c>
      <c r="F5" s="5" t="e">
        <f>#REF!</f>
        <v>#REF!</v>
      </c>
      <c r="G5" s="6"/>
    </row>
    <row r="6" spans="4:20">
      <c r="D6" s="3" t="s">
        <v>7</v>
      </c>
      <c r="E6" s="4"/>
      <c r="F6" s="5" t="e">
        <f>#REF!</f>
        <v>#REF!</v>
      </c>
      <c r="G6" s="6"/>
    </row>
    <row r="7" spans="4:20">
      <c r="D7" s="7"/>
      <c r="E7" s="8" t="s">
        <v>8</v>
      </c>
      <c r="F7" s="9" t="e">
        <f>#REF!</f>
        <v>#REF!</v>
      </c>
      <c r="G7" s="10"/>
    </row>
    <row r="8" spans="4:20">
      <c r="D8" s="7"/>
      <c r="E8" s="8" t="s">
        <v>9</v>
      </c>
      <c r="F8" s="9" t="e">
        <f>#REF!</f>
        <v>#REF!</v>
      </c>
      <c r="G8" s="10"/>
    </row>
    <row r="9" spans="4:20">
      <c r="D9" s="7"/>
      <c r="E9" s="8" t="s">
        <v>10</v>
      </c>
      <c r="F9" s="9" t="e">
        <f>#REF!</f>
        <v>#REF!</v>
      </c>
      <c r="G9" s="10"/>
    </row>
    <row r="10" spans="4:20">
      <c r="D10" s="7"/>
      <c r="E10" s="8" t="s">
        <v>11</v>
      </c>
      <c r="F10" s="9" t="e">
        <f>#REF!</f>
        <v>#REF!</v>
      </c>
      <c r="G10" s="10"/>
    </row>
    <row r="11" spans="4:20">
      <c r="D11" s="7"/>
      <c r="E11" s="8" t="s">
        <v>12</v>
      </c>
      <c r="F11" s="9" t="e">
        <f>#REF!</f>
        <v>#REF!</v>
      </c>
      <c r="G11" s="10"/>
    </row>
    <row r="12" spans="4:20">
      <c r="D12" s="11"/>
      <c r="E12" s="8" t="s">
        <v>13</v>
      </c>
      <c r="F12" s="9" t="e">
        <f>#REF!</f>
        <v>#REF!</v>
      </c>
      <c r="G12" s="10"/>
    </row>
    <row r="13" spans="4:20">
      <c r="D13" s="11"/>
      <c r="E13" s="8" t="s">
        <v>14</v>
      </c>
      <c r="F13" s="9" t="e">
        <f>#REF!</f>
        <v>#REF!</v>
      </c>
      <c r="G13" s="10"/>
    </row>
    <row r="14" spans="4:20">
      <c r="D14" s="3" t="s">
        <v>15</v>
      </c>
      <c r="E14" s="4"/>
      <c r="F14" s="5" t="e">
        <f>#REF!</f>
        <v>#REF!</v>
      </c>
      <c r="G14" s="6"/>
    </row>
    <row r="15" spans="4:20">
      <c r="D15" s="7"/>
      <c r="E15" s="8" t="s">
        <v>16</v>
      </c>
      <c r="F15" s="9" t="e">
        <f>#REF!</f>
        <v>#REF!</v>
      </c>
      <c r="G15" s="10"/>
    </row>
    <row r="16" spans="4:20">
      <c r="D16" s="7"/>
      <c r="E16" s="8" t="s">
        <v>17</v>
      </c>
      <c r="F16" s="9" t="e">
        <f>#REF!</f>
        <v>#REF!</v>
      </c>
      <c r="G16" s="10"/>
    </row>
    <row r="17" spans="4:7">
      <c r="D17" s="7"/>
      <c r="E17" s="8" t="s">
        <v>18</v>
      </c>
      <c r="F17" s="9" t="e">
        <f>#REF!</f>
        <v>#REF!</v>
      </c>
      <c r="G17" s="10"/>
    </row>
    <row r="18" spans="4:7">
      <c r="D18" s="7"/>
      <c r="E18" s="8" t="s">
        <v>19</v>
      </c>
      <c r="F18" s="9" t="e">
        <f>#REF!</f>
        <v>#REF!</v>
      </c>
      <c r="G18" s="10"/>
    </row>
    <row r="19" spans="4:7">
      <c r="D19" s="7"/>
      <c r="E19" s="8" t="s">
        <v>14</v>
      </c>
      <c r="F19" s="9" t="e">
        <f>#REF!</f>
        <v>#REF!</v>
      </c>
      <c r="G19" s="10"/>
    </row>
    <row r="20" spans="4:7">
      <c r="D20" s="7"/>
      <c r="E20" s="12"/>
      <c r="F20" s="13"/>
      <c r="G20" s="14"/>
    </row>
    <row r="21" spans="4:7">
      <c r="D21" s="7"/>
      <c r="E21" s="12"/>
      <c r="F21" s="13"/>
      <c r="G21" s="14"/>
    </row>
    <row r="22" spans="4:7">
      <c r="D22" s="7"/>
      <c r="E22" s="12"/>
      <c r="F22" s="13"/>
      <c r="G22" s="14"/>
    </row>
    <row r="23" spans="4:7">
      <c r="D23" s="15" t="s">
        <v>20</v>
      </c>
      <c r="E23" s="16"/>
      <c r="F23" s="17" t="e">
        <f>SUM(F5,F6,F14)</f>
        <v>#REF!</v>
      </c>
      <c r="G23" s="17"/>
    </row>
  </sheetData>
  <mergeCells count="4">
    <mergeCell ref="D2:G2"/>
    <mergeCell ref="D3:E3"/>
    <mergeCell ref="F3:F4"/>
    <mergeCell ref="G3:G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J1892"/>
  <sheetViews>
    <sheetView topLeftCell="A121" zoomScaleNormal="100" workbookViewId="0">
      <selection activeCell="I139" sqref="I139"/>
    </sheetView>
  </sheetViews>
  <sheetFormatPr defaultColWidth="8.7109375" defaultRowHeight="15"/>
  <cols>
    <col min="3" max="3" width="23" customWidth="1"/>
    <col min="4" max="4" width="113.28515625" customWidth="1"/>
    <col min="5" max="5" width="12.140625" customWidth="1"/>
    <col min="6" max="6" width="23.140625" customWidth="1"/>
    <col min="7" max="7" width="17.28515625" customWidth="1"/>
    <col min="8" max="8" width="13.28515625" customWidth="1"/>
    <col min="9" max="9" width="21.28515625" customWidth="1"/>
    <col min="10" max="10" width="13.7109375" bestFit="1" customWidth="1"/>
  </cols>
  <sheetData>
    <row r="1" spans="3:8">
      <c r="D1" t="s">
        <v>21</v>
      </c>
    </row>
    <row r="5" spans="3:8" ht="18">
      <c r="C5" s="18" t="s">
        <v>22</v>
      </c>
      <c r="D5" s="19"/>
      <c r="E5" s="19"/>
      <c r="F5" s="19"/>
      <c r="G5" s="19"/>
      <c r="H5" s="20"/>
    </row>
    <row r="6" spans="3:8">
      <c r="C6" s="21"/>
      <c r="D6" s="21"/>
      <c r="E6" s="21"/>
      <c r="F6" s="21"/>
      <c r="G6" s="21"/>
      <c r="H6" s="21"/>
    </row>
    <row r="7" spans="3:8">
      <c r="C7" s="22" t="s">
        <v>23</v>
      </c>
      <c r="D7" s="23" t="s">
        <v>24</v>
      </c>
      <c r="E7" s="23"/>
      <c r="F7" s="24"/>
      <c r="G7" s="25"/>
      <c r="H7" s="26"/>
    </row>
    <row r="8" spans="3:8">
      <c r="C8" s="27" t="s">
        <v>25</v>
      </c>
      <c r="D8" s="28" t="s">
        <v>26</v>
      </c>
      <c r="E8" s="29"/>
      <c r="F8" s="30" t="s">
        <v>27</v>
      </c>
      <c r="G8" s="31" t="s">
        <v>28</v>
      </c>
      <c r="H8" s="32">
        <v>0</v>
      </c>
    </row>
    <row r="9" spans="3:8">
      <c r="C9" s="33" t="s">
        <v>29</v>
      </c>
      <c r="D9" s="33" t="s">
        <v>30</v>
      </c>
      <c r="E9" s="33" t="s">
        <v>31</v>
      </c>
      <c r="F9" s="34" t="s">
        <v>32</v>
      </c>
      <c r="G9" s="35" t="s">
        <v>33</v>
      </c>
      <c r="H9" s="35" t="s">
        <v>34</v>
      </c>
    </row>
    <row r="10" spans="3:8">
      <c r="C10" s="33"/>
      <c r="D10" s="33"/>
      <c r="E10" s="33"/>
      <c r="F10" s="34"/>
      <c r="G10" s="36"/>
      <c r="H10" s="36"/>
    </row>
    <row r="11" spans="3:8">
      <c r="C11" s="37" t="s">
        <v>35</v>
      </c>
      <c r="D11" s="38" t="s">
        <v>36</v>
      </c>
      <c r="E11" s="39"/>
      <c r="F11" s="40"/>
      <c r="G11" s="41"/>
      <c r="H11" s="42"/>
    </row>
    <row r="12" spans="3:8">
      <c r="C12" s="43"/>
      <c r="D12" s="44"/>
      <c r="E12" s="45"/>
      <c r="F12" s="40"/>
      <c r="G12" s="46"/>
      <c r="H12" s="47"/>
    </row>
    <row r="13" spans="3:8">
      <c r="C13" s="37"/>
      <c r="D13" s="38"/>
      <c r="E13" s="45"/>
      <c r="F13" s="40"/>
      <c r="G13" s="46">
        <v>0</v>
      </c>
      <c r="H13" s="42"/>
    </row>
    <row r="14" spans="3:8">
      <c r="C14" s="43"/>
      <c r="D14" s="48"/>
      <c r="E14" s="39"/>
      <c r="F14" s="49"/>
      <c r="G14" s="50">
        <v>0</v>
      </c>
      <c r="H14" s="47">
        <v>0</v>
      </c>
    </row>
    <row r="15" spans="3:8">
      <c r="C15" s="51" t="s">
        <v>37</v>
      </c>
      <c r="D15" s="51"/>
      <c r="E15" s="51"/>
      <c r="F15" s="52"/>
      <c r="G15" s="51"/>
      <c r="H15" s="53">
        <v>0</v>
      </c>
    </row>
    <row r="16" spans="3:8">
      <c r="C16" s="54" t="s">
        <v>38</v>
      </c>
      <c r="D16" s="55" t="s">
        <v>39</v>
      </c>
      <c r="E16" s="56"/>
      <c r="F16" s="57"/>
      <c r="G16" s="58"/>
      <c r="H16" s="58"/>
    </row>
    <row r="17" spans="3:8">
      <c r="C17" s="39"/>
      <c r="D17" s="59"/>
      <c r="E17" s="39"/>
      <c r="F17" s="60"/>
      <c r="G17" s="47">
        <v>0</v>
      </c>
      <c r="H17" s="61">
        <v>0</v>
      </c>
    </row>
    <row r="18" spans="3:8">
      <c r="C18" s="39"/>
      <c r="D18" s="44"/>
      <c r="E18" s="39"/>
      <c r="F18" s="60"/>
      <c r="G18" s="47">
        <v>0</v>
      </c>
      <c r="H18" s="61">
        <v>0</v>
      </c>
    </row>
    <row r="19" spans="3:8">
      <c r="C19" s="39"/>
      <c r="D19" s="59"/>
      <c r="E19" s="39"/>
      <c r="F19" s="60"/>
      <c r="G19" s="47">
        <v>0</v>
      </c>
      <c r="H19" s="61">
        <v>0</v>
      </c>
    </row>
    <row r="20" spans="3:8">
      <c r="C20" s="39"/>
      <c r="D20" s="59"/>
      <c r="E20" s="39"/>
      <c r="F20" s="60"/>
      <c r="G20" s="47">
        <v>0</v>
      </c>
      <c r="H20" s="61">
        <v>0</v>
      </c>
    </row>
    <row r="21" spans="3:8">
      <c r="C21" s="39"/>
      <c r="D21" s="44"/>
      <c r="E21" s="39"/>
      <c r="F21" s="60"/>
      <c r="G21" s="47">
        <v>0</v>
      </c>
      <c r="H21" s="61">
        <v>0</v>
      </c>
    </row>
    <row r="22" spans="3:8">
      <c r="C22" s="39"/>
      <c r="D22" s="59"/>
      <c r="E22" s="39"/>
      <c r="F22" s="60"/>
      <c r="G22" s="47">
        <v>0</v>
      </c>
      <c r="H22" s="61">
        <v>0</v>
      </c>
    </row>
    <row r="23" spans="3:8">
      <c r="C23" s="39"/>
      <c r="D23" s="59"/>
      <c r="E23" s="39"/>
      <c r="F23" s="60"/>
      <c r="G23" s="62">
        <v>0</v>
      </c>
      <c r="H23" s="61">
        <v>0</v>
      </c>
    </row>
    <row r="24" spans="3:8">
      <c r="C24" s="39"/>
      <c r="D24" s="44"/>
      <c r="E24" s="39"/>
      <c r="F24" s="49"/>
      <c r="G24" s="47">
        <v>0</v>
      </c>
      <c r="H24" s="61">
        <v>0</v>
      </c>
    </row>
    <row r="25" spans="3:8">
      <c r="C25" s="51" t="s">
        <v>40</v>
      </c>
      <c r="D25" s="51"/>
      <c r="E25" s="51"/>
      <c r="F25" s="52"/>
      <c r="G25" s="51"/>
      <c r="H25" s="53">
        <v>0</v>
      </c>
    </row>
    <row r="26" spans="3:8">
      <c r="C26" s="54" t="s">
        <v>41</v>
      </c>
      <c r="D26" s="55" t="s">
        <v>42</v>
      </c>
      <c r="E26" s="56"/>
      <c r="F26" s="63"/>
      <c r="G26" s="64"/>
      <c r="H26" s="64">
        <v>0</v>
      </c>
    </row>
    <row r="27" spans="3:8">
      <c r="C27" s="39"/>
      <c r="D27" s="59"/>
      <c r="E27" s="39"/>
      <c r="F27" s="60"/>
      <c r="G27" s="47">
        <v>0</v>
      </c>
      <c r="H27" s="61">
        <v>0</v>
      </c>
    </row>
    <row r="28" spans="3:8">
      <c r="C28" s="39"/>
      <c r="D28" s="59"/>
      <c r="E28" s="45"/>
      <c r="F28" s="40"/>
      <c r="G28" s="47">
        <v>0</v>
      </c>
      <c r="H28" s="50">
        <v>0</v>
      </c>
    </row>
    <row r="29" spans="3:8">
      <c r="C29" s="45"/>
      <c r="D29" s="65"/>
      <c r="E29" s="45"/>
      <c r="F29" s="40"/>
      <c r="G29" s="47">
        <v>0</v>
      </c>
      <c r="H29" s="61">
        <v>0</v>
      </c>
    </row>
    <row r="30" spans="3:8">
      <c r="C30" s="45"/>
      <c r="D30" s="65"/>
      <c r="E30" s="45"/>
      <c r="F30" s="40"/>
      <c r="G30" s="47">
        <v>0</v>
      </c>
      <c r="H30" s="61">
        <v>0</v>
      </c>
    </row>
    <row r="31" spans="3:8">
      <c r="C31" s="45"/>
      <c r="D31" s="65"/>
      <c r="E31" s="45"/>
      <c r="F31" s="40"/>
      <c r="G31" s="47">
        <v>0</v>
      </c>
      <c r="H31" s="61">
        <v>0</v>
      </c>
    </row>
    <row r="32" spans="3:8">
      <c r="C32" s="45"/>
      <c r="D32" s="65"/>
      <c r="E32" s="45"/>
      <c r="F32" s="40"/>
      <c r="G32" s="47">
        <v>0</v>
      </c>
      <c r="H32" s="61">
        <v>0</v>
      </c>
    </row>
    <row r="33" spans="3:9">
      <c r="C33" s="45"/>
      <c r="D33" s="65"/>
      <c r="E33" s="45"/>
      <c r="F33" s="40"/>
      <c r="G33" s="47">
        <v>0</v>
      </c>
      <c r="H33" s="61">
        <v>0</v>
      </c>
    </row>
    <row r="34" spans="3:9">
      <c r="C34" s="51" t="s">
        <v>43</v>
      </c>
      <c r="D34" s="51"/>
      <c r="E34" s="51"/>
      <c r="F34" s="52"/>
      <c r="G34" s="51"/>
      <c r="H34" s="53">
        <v>0</v>
      </c>
    </row>
    <row r="35" spans="3:9" ht="15.75">
      <c r="C35" s="66" t="s">
        <v>44</v>
      </c>
      <c r="D35" s="67"/>
      <c r="E35" s="67"/>
      <c r="F35" s="68"/>
      <c r="G35" s="69"/>
      <c r="H35" s="53">
        <v>0</v>
      </c>
    </row>
    <row r="36" spans="3:9" ht="15.75">
      <c r="C36" s="66" t="s">
        <v>45</v>
      </c>
      <c r="D36" s="67"/>
      <c r="E36" s="67"/>
      <c r="F36" s="68"/>
      <c r="G36" s="69"/>
      <c r="H36" s="70">
        <v>0</v>
      </c>
    </row>
    <row r="37" spans="3:9" ht="15.75">
      <c r="C37" s="66" t="s">
        <v>46</v>
      </c>
      <c r="D37" s="67"/>
      <c r="E37" s="67"/>
      <c r="F37" s="68"/>
      <c r="G37" s="69"/>
      <c r="H37" s="53">
        <v>0</v>
      </c>
    </row>
    <row r="38" spans="3:9">
      <c r="C38" s="21"/>
      <c r="D38" s="21"/>
      <c r="E38" s="21"/>
      <c r="F38" s="21"/>
      <c r="G38" s="21"/>
      <c r="H38" s="21"/>
    </row>
    <row r="39" spans="3:9">
      <c r="C39" s="22" t="s">
        <v>23</v>
      </c>
      <c r="D39" s="23" t="s">
        <v>47</v>
      </c>
      <c r="E39" s="23"/>
      <c r="F39" s="24"/>
      <c r="G39" s="25"/>
      <c r="H39" s="26"/>
    </row>
    <row r="40" spans="3:9">
      <c r="C40" s="27" t="s">
        <v>25</v>
      </c>
      <c r="D40" s="28" t="s">
        <v>48</v>
      </c>
      <c r="E40" s="29"/>
      <c r="F40" s="30" t="s">
        <v>27</v>
      </c>
      <c r="G40" s="31" t="s">
        <v>28</v>
      </c>
      <c r="H40" s="32">
        <v>268104.34999999998</v>
      </c>
    </row>
    <row r="41" spans="3:9">
      <c r="C41" s="33" t="s">
        <v>29</v>
      </c>
      <c r="D41" s="33" t="s">
        <v>30</v>
      </c>
      <c r="E41" s="33" t="s">
        <v>31</v>
      </c>
      <c r="F41" s="34" t="s">
        <v>32</v>
      </c>
      <c r="G41" s="35" t="s">
        <v>33</v>
      </c>
      <c r="H41" s="35" t="s">
        <v>34</v>
      </c>
    </row>
    <row r="42" spans="3:9">
      <c r="C42" s="33"/>
      <c r="D42" s="33"/>
      <c r="E42" s="33"/>
      <c r="F42" s="34"/>
      <c r="G42" s="36"/>
      <c r="H42" s="36"/>
    </row>
    <row r="43" spans="3:9">
      <c r="C43" s="37" t="s">
        <v>35</v>
      </c>
      <c r="D43" s="38" t="s">
        <v>36</v>
      </c>
      <c r="E43" s="39"/>
      <c r="F43" s="40"/>
      <c r="G43" s="41"/>
      <c r="H43" s="42"/>
    </row>
    <row r="44" spans="3:9">
      <c r="C44" s="39" t="s">
        <v>49</v>
      </c>
      <c r="D44" s="71" t="s">
        <v>50</v>
      </c>
      <c r="E44" s="39" t="s">
        <v>51</v>
      </c>
      <c r="F44" s="72">
        <v>330</v>
      </c>
      <c r="G44" s="46">
        <v>79.456006436582399</v>
      </c>
      <c r="H44" s="47">
        <v>26220.482124072201</v>
      </c>
    </row>
    <row r="45" spans="3:9">
      <c r="C45" s="39" t="s">
        <v>49</v>
      </c>
      <c r="D45" s="65" t="s">
        <v>52</v>
      </c>
      <c r="E45" s="39" t="s">
        <v>51</v>
      </c>
      <c r="F45" s="72">
        <v>330</v>
      </c>
      <c r="G45" s="46">
        <v>45.411750977784699</v>
      </c>
      <c r="H45" s="47">
        <v>14985.877822668899</v>
      </c>
    </row>
    <row r="46" spans="3:9">
      <c r="C46" s="39"/>
      <c r="D46" s="65"/>
      <c r="E46" s="39"/>
      <c r="F46" s="60"/>
      <c r="G46" s="46">
        <v>0</v>
      </c>
      <c r="H46" s="47">
        <v>0</v>
      </c>
    </row>
    <row r="47" spans="3:9">
      <c r="C47" s="39"/>
      <c r="D47" s="65"/>
      <c r="E47" s="39"/>
      <c r="F47" s="60"/>
      <c r="G47" s="46">
        <v>0</v>
      </c>
      <c r="H47" s="47">
        <v>0</v>
      </c>
    </row>
    <row r="48" spans="3:9">
      <c r="C48" s="51" t="s">
        <v>37</v>
      </c>
      <c r="D48" s="51"/>
      <c r="E48" s="51"/>
      <c r="F48" s="52"/>
      <c r="G48" s="51"/>
      <c r="H48" s="53">
        <f>H44+H45</f>
        <v>41206.359946741097</v>
      </c>
      <c r="I48" s="73"/>
    </row>
    <row r="49" spans="3:8">
      <c r="C49" s="54" t="s">
        <v>38</v>
      </c>
      <c r="D49" s="55" t="s">
        <v>39</v>
      </c>
      <c r="E49" s="56"/>
      <c r="F49" s="57"/>
      <c r="G49" s="58"/>
      <c r="H49" s="58"/>
    </row>
    <row r="50" spans="3:8">
      <c r="C50" s="39" t="s">
        <v>53</v>
      </c>
      <c r="D50" s="74" t="s">
        <v>54</v>
      </c>
      <c r="E50" s="39" t="s">
        <v>55</v>
      </c>
      <c r="F50" s="75">
        <v>1</v>
      </c>
      <c r="G50" s="47">
        <v>100000</v>
      </c>
      <c r="H50" s="61">
        <v>100000</v>
      </c>
    </row>
    <row r="51" spans="3:8">
      <c r="C51" s="39"/>
      <c r="D51" s="76"/>
      <c r="E51" s="39"/>
      <c r="F51" s="40"/>
      <c r="G51" s="47"/>
      <c r="H51" s="61"/>
    </row>
    <row r="52" spans="3:8">
      <c r="C52" s="39"/>
      <c r="D52" s="76"/>
      <c r="E52" s="39"/>
      <c r="F52" s="75"/>
      <c r="G52" s="47">
        <v>0</v>
      </c>
      <c r="H52" s="61">
        <v>0</v>
      </c>
    </row>
    <row r="53" spans="3:8">
      <c r="C53" s="39"/>
      <c r="D53" s="76"/>
      <c r="E53" s="39"/>
      <c r="F53" s="40"/>
      <c r="G53" s="47">
        <v>0</v>
      </c>
      <c r="H53" s="61">
        <v>0</v>
      </c>
    </row>
    <row r="54" spans="3:8">
      <c r="C54" s="39"/>
      <c r="D54" s="76"/>
      <c r="E54" s="39"/>
      <c r="F54" s="75"/>
      <c r="G54" s="47">
        <v>0</v>
      </c>
      <c r="H54" s="61">
        <v>0</v>
      </c>
    </row>
    <row r="55" spans="3:8">
      <c r="C55" s="39"/>
      <c r="D55" s="76"/>
      <c r="E55" s="39"/>
      <c r="F55" s="75"/>
      <c r="G55" s="47">
        <v>0</v>
      </c>
      <c r="H55" s="61">
        <v>0</v>
      </c>
    </row>
    <row r="56" spans="3:8">
      <c r="C56" s="39"/>
      <c r="D56" s="76"/>
      <c r="E56" s="39"/>
      <c r="F56" s="49"/>
      <c r="G56" s="62">
        <v>0</v>
      </c>
      <c r="H56" s="61">
        <v>0</v>
      </c>
    </row>
    <row r="57" spans="3:8">
      <c r="C57" s="39"/>
      <c r="D57" s="44"/>
      <c r="E57" s="39"/>
      <c r="F57" s="49"/>
      <c r="G57" s="47">
        <v>0</v>
      </c>
      <c r="H57" s="61">
        <v>0</v>
      </c>
    </row>
    <row r="58" spans="3:8">
      <c r="C58" s="51" t="s">
        <v>40</v>
      </c>
      <c r="D58" s="51"/>
      <c r="E58" s="51"/>
      <c r="F58" s="52"/>
      <c r="G58" s="51"/>
      <c r="H58" s="53">
        <v>100000</v>
      </c>
    </row>
    <row r="59" spans="3:8">
      <c r="C59" s="54" t="s">
        <v>41</v>
      </c>
      <c r="D59" s="55" t="s">
        <v>42</v>
      </c>
      <c r="E59" s="56"/>
      <c r="F59" s="63"/>
      <c r="G59" s="64"/>
      <c r="H59" s="64">
        <v>0</v>
      </c>
    </row>
    <row r="60" spans="3:8">
      <c r="C60" s="77"/>
      <c r="D60" s="78" t="s">
        <v>56</v>
      </c>
      <c r="E60" s="77"/>
      <c r="F60" s="79"/>
      <c r="G60" s="80"/>
      <c r="H60" s="81">
        <v>0</v>
      </c>
    </row>
    <row r="61" spans="3:8">
      <c r="C61" s="45" t="s">
        <v>57</v>
      </c>
      <c r="D61" s="65" t="s">
        <v>58</v>
      </c>
      <c r="E61" s="45" t="s">
        <v>59</v>
      </c>
      <c r="F61" s="40">
        <v>136</v>
      </c>
      <c r="G61" s="47">
        <v>450</v>
      </c>
      <c r="H61" s="61">
        <v>61200</v>
      </c>
    </row>
    <row r="62" spans="3:8">
      <c r="C62" s="45" t="s">
        <v>57</v>
      </c>
      <c r="D62" s="65" t="s">
        <v>60</v>
      </c>
      <c r="E62" s="45" t="s">
        <v>59</v>
      </c>
      <c r="F62" s="40">
        <v>33</v>
      </c>
      <c r="G62" s="47">
        <v>385</v>
      </c>
      <c r="H62" s="61">
        <v>12705</v>
      </c>
    </row>
    <row r="63" spans="3:8">
      <c r="C63" s="45"/>
      <c r="D63" s="65"/>
      <c r="E63" s="45"/>
      <c r="F63" s="40"/>
      <c r="G63" s="47">
        <v>0</v>
      </c>
      <c r="H63" s="61">
        <v>0</v>
      </c>
    </row>
    <row r="64" spans="3:8">
      <c r="C64" s="45"/>
      <c r="D64" s="65"/>
      <c r="E64" s="45"/>
      <c r="F64" s="40"/>
      <c r="G64" s="47">
        <v>0</v>
      </c>
      <c r="H64" s="61">
        <v>0</v>
      </c>
    </row>
    <row r="65" spans="3:8">
      <c r="C65" s="39"/>
      <c r="D65" s="44"/>
      <c r="E65" s="39"/>
      <c r="F65" s="82"/>
      <c r="G65" s="83">
        <v>0</v>
      </c>
      <c r="H65" s="61">
        <v>0</v>
      </c>
    </row>
    <row r="66" spans="3:8">
      <c r="C66" s="51" t="s">
        <v>43</v>
      </c>
      <c r="D66" s="51"/>
      <c r="E66" s="51"/>
      <c r="F66" s="52"/>
      <c r="G66" s="51"/>
      <c r="H66" s="53">
        <f>H61+H62</f>
        <v>73905</v>
      </c>
    </row>
    <row r="67" spans="3:8" ht="15.75">
      <c r="C67" s="66" t="s">
        <v>44</v>
      </c>
      <c r="D67" s="67"/>
      <c r="E67" s="67"/>
      <c r="F67" s="68"/>
      <c r="G67" s="69"/>
      <c r="H67" s="53">
        <v>215111.35994674099</v>
      </c>
    </row>
    <row r="68" spans="3:8" ht="15.75">
      <c r="C68" s="66" t="s">
        <v>45</v>
      </c>
      <c r="D68" s="67"/>
      <c r="E68" s="67"/>
      <c r="F68" s="68"/>
      <c r="G68" s="69"/>
      <c r="H68" s="70">
        <v>52992.9911836104</v>
      </c>
    </row>
    <row r="69" spans="3:8" ht="15.75">
      <c r="C69" s="66" t="s">
        <v>46</v>
      </c>
      <c r="D69" s="67"/>
      <c r="E69" s="67"/>
      <c r="F69" s="68"/>
      <c r="G69" s="69"/>
      <c r="H69" s="53">
        <v>268104.34999999998</v>
      </c>
    </row>
    <row r="70" spans="3:8">
      <c r="C70" s="21"/>
      <c r="D70" s="21"/>
      <c r="E70" s="21"/>
      <c r="F70" s="21"/>
      <c r="G70" s="21"/>
      <c r="H70" s="21"/>
    </row>
    <row r="71" spans="3:8">
      <c r="C71" s="22" t="s">
        <v>23</v>
      </c>
      <c r="D71" s="23" t="s">
        <v>61</v>
      </c>
      <c r="E71" s="23"/>
      <c r="F71" s="24"/>
      <c r="G71" s="25"/>
      <c r="H71" s="26"/>
    </row>
    <row r="72" spans="3:8">
      <c r="C72" s="27" t="s">
        <v>25</v>
      </c>
      <c r="D72" s="28" t="s">
        <v>62</v>
      </c>
      <c r="E72" s="29"/>
      <c r="F72" s="30" t="s">
        <v>27</v>
      </c>
      <c r="G72" s="31" t="s">
        <v>28</v>
      </c>
      <c r="H72" s="32">
        <v>0</v>
      </c>
    </row>
    <row r="73" spans="3:8">
      <c r="C73" s="33" t="s">
        <v>29</v>
      </c>
      <c r="D73" s="33" t="s">
        <v>30</v>
      </c>
      <c r="E73" s="33" t="s">
        <v>31</v>
      </c>
      <c r="F73" s="34" t="s">
        <v>32</v>
      </c>
      <c r="G73" s="35" t="s">
        <v>33</v>
      </c>
      <c r="H73" s="35" t="s">
        <v>34</v>
      </c>
    </row>
    <row r="74" spans="3:8">
      <c r="C74" s="33"/>
      <c r="D74" s="33"/>
      <c r="E74" s="33"/>
      <c r="F74" s="34"/>
      <c r="G74" s="36"/>
      <c r="H74" s="36"/>
    </row>
    <row r="75" spans="3:8">
      <c r="C75" s="37" t="s">
        <v>35</v>
      </c>
      <c r="D75" s="38" t="s">
        <v>36</v>
      </c>
      <c r="E75" s="39"/>
      <c r="F75" s="40"/>
      <c r="G75" s="41"/>
      <c r="H75" s="42"/>
    </row>
    <row r="76" spans="3:8">
      <c r="C76" s="39"/>
      <c r="D76" s="71"/>
      <c r="E76" s="39"/>
      <c r="F76" s="60"/>
      <c r="G76" s="46"/>
      <c r="H76" s="47"/>
    </row>
    <row r="77" spans="3:8">
      <c r="C77" s="39"/>
      <c r="D77" s="71"/>
      <c r="E77" s="39"/>
      <c r="F77" s="60"/>
      <c r="G77" s="46"/>
      <c r="H77" s="47"/>
    </row>
    <row r="78" spans="3:8">
      <c r="C78" s="39"/>
      <c r="D78" s="71"/>
      <c r="E78" s="39"/>
      <c r="F78" s="60"/>
      <c r="G78" s="46"/>
      <c r="H78" s="47"/>
    </row>
    <row r="79" spans="3:8">
      <c r="C79" s="39"/>
      <c r="D79" s="71"/>
      <c r="E79" s="39"/>
      <c r="F79" s="60"/>
      <c r="G79" s="46"/>
      <c r="H79" s="47"/>
    </row>
    <row r="80" spans="3:8">
      <c r="C80" s="39"/>
      <c r="D80" s="65"/>
      <c r="E80" s="39"/>
      <c r="F80" s="40"/>
      <c r="G80" s="46"/>
      <c r="H80" s="47"/>
    </row>
    <row r="81" spans="3:8">
      <c r="C81" s="39"/>
      <c r="D81" s="65"/>
      <c r="E81" s="39"/>
      <c r="F81" s="40"/>
      <c r="G81" s="46"/>
      <c r="H81" s="47"/>
    </row>
    <row r="82" spans="3:8">
      <c r="C82" s="43"/>
      <c r="D82" s="65"/>
      <c r="E82" s="39"/>
      <c r="F82" s="60"/>
      <c r="G82" s="46">
        <v>0</v>
      </c>
      <c r="H82" s="47">
        <v>0</v>
      </c>
    </row>
    <row r="83" spans="3:8">
      <c r="C83" s="43"/>
      <c r="D83" s="65"/>
      <c r="E83" s="39"/>
      <c r="F83" s="60"/>
      <c r="G83" s="46">
        <v>0</v>
      </c>
      <c r="H83" s="47">
        <v>0</v>
      </c>
    </row>
    <row r="84" spans="3:8">
      <c r="C84" s="43"/>
      <c r="D84" s="44"/>
      <c r="E84" s="39"/>
      <c r="F84" s="49"/>
      <c r="G84" s="46">
        <v>0</v>
      </c>
      <c r="H84" s="47">
        <v>0</v>
      </c>
    </row>
    <row r="85" spans="3:8">
      <c r="C85" s="39"/>
      <c r="D85" s="44"/>
      <c r="E85" s="39"/>
      <c r="F85" s="49"/>
      <c r="G85" s="47">
        <v>0</v>
      </c>
      <c r="H85" s="47">
        <v>0</v>
      </c>
    </row>
    <row r="86" spans="3:8">
      <c r="C86" s="43"/>
      <c r="D86" s="48"/>
      <c r="E86" s="39"/>
      <c r="F86" s="49"/>
      <c r="G86" s="50">
        <v>0</v>
      </c>
      <c r="H86" s="47">
        <v>0</v>
      </c>
    </row>
    <row r="87" spans="3:8">
      <c r="C87" s="51" t="s">
        <v>37</v>
      </c>
      <c r="D87" s="51"/>
      <c r="E87" s="51"/>
      <c r="F87" s="52"/>
      <c r="G87" s="51"/>
      <c r="H87" s="53">
        <v>0</v>
      </c>
    </row>
    <row r="88" spans="3:8">
      <c r="C88" s="54" t="s">
        <v>38</v>
      </c>
      <c r="D88" s="55" t="s">
        <v>39</v>
      </c>
      <c r="E88" s="56"/>
      <c r="F88" s="57"/>
      <c r="G88" s="58"/>
      <c r="H88" s="58"/>
    </row>
    <row r="89" spans="3:8">
      <c r="C89" s="39"/>
      <c r="D89" s="59"/>
      <c r="E89" s="39"/>
      <c r="F89" s="60"/>
      <c r="G89" s="47"/>
      <c r="H89" s="61"/>
    </row>
    <row r="90" spans="3:8">
      <c r="C90" s="39"/>
      <c r="D90" s="59"/>
      <c r="E90" s="39"/>
      <c r="F90" s="60"/>
      <c r="G90" s="47">
        <v>0</v>
      </c>
      <c r="H90" s="61">
        <v>0</v>
      </c>
    </row>
    <row r="91" spans="3:8">
      <c r="C91" s="39"/>
      <c r="D91" s="44"/>
      <c r="E91" s="39"/>
      <c r="F91" s="49"/>
      <c r="G91" s="47">
        <v>0</v>
      </c>
      <c r="H91" s="61">
        <v>0</v>
      </c>
    </row>
    <row r="92" spans="3:8">
      <c r="C92" s="51" t="s">
        <v>40</v>
      </c>
      <c r="D92" s="51"/>
      <c r="E92" s="51"/>
      <c r="F92" s="52"/>
      <c r="G92" s="51"/>
      <c r="H92" s="53">
        <v>0</v>
      </c>
    </row>
    <row r="93" spans="3:8">
      <c r="C93" s="54" t="s">
        <v>41</v>
      </c>
      <c r="D93" s="55" t="s">
        <v>42</v>
      </c>
      <c r="E93" s="56"/>
      <c r="F93" s="63"/>
      <c r="G93" s="64"/>
      <c r="H93" s="64">
        <v>0</v>
      </c>
    </row>
    <row r="94" spans="3:8">
      <c r="C94" s="45"/>
      <c r="D94" s="65"/>
      <c r="E94" s="45"/>
      <c r="F94" s="40"/>
      <c r="G94" s="50"/>
      <c r="H94" s="47"/>
    </row>
    <row r="95" spans="3:8">
      <c r="C95" s="45"/>
      <c r="D95" s="65"/>
      <c r="E95" s="45"/>
      <c r="F95" s="40"/>
      <c r="G95" s="50"/>
      <c r="H95" s="47"/>
    </row>
    <row r="96" spans="3:8">
      <c r="C96" s="45"/>
      <c r="D96" s="65"/>
      <c r="E96" s="45"/>
      <c r="F96" s="40"/>
      <c r="G96" s="50"/>
      <c r="H96" s="47"/>
    </row>
    <row r="97" spans="3:8">
      <c r="C97" s="45"/>
      <c r="D97" s="65"/>
      <c r="E97" s="45"/>
      <c r="F97" s="40"/>
      <c r="G97" s="50"/>
      <c r="H97" s="47"/>
    </row>
    <row r="98" spans="3:8">
      <c r="C98" s="45"/>
      <c r="D98" s="65"/>
      <c r="E98" s="45"/>
      <c r="F98" s="40"/>
      <c r="G98" s="50"/>
      <c r="H98" s="47"/>
    </row>
    <row r="99" spans="3:8">
      <c r="C99" s="45"/>
      <c r="D99" s="65"/>
      <c r="E99" s="45"/>
      <c r="F99" s="40"/>
      <c r="G99" s="50"/>
      <c r="H99" s="47"/>
    </row>
    <row r="100" spans="3:8">
      <c r="C100" s="45"/>
      <c r="D100" s="65"/>
      <c r="E100" s="45"/>
      <c r="F100" s="40"/>
      <c r="G100" s="50"/>
      <c r="H100" s="47"/>
    </row>
    <row r="101" spans="3:8">
      <c r="C101" s="45"/>
      <c r="D101" s="65"/>
      <c r="E101" s="45"/>
      <c r="F101" s="40"/>
      <c r="G101" s="50"/>
      <c r="H101" s="47"/>
    </row>
    <row r="102" spans="3:8">
      <c r="C102" s="45"/>
      <c r="D102" s="65"/>
      <c r="E102" s="45"/>
      <c r="F102" s="40"/>
      <c r="G102" s="50"/>
      <c r="H102" s="47"/>
    </row>
    <row r="103" spans="3:8">
      <c r="C103" s="45"/>
      <c r="D103" s="65"/>
      <c r="E103" s="45"/>
      <c r="F103" s="40"/>
      <c r="G103" s="50"/>
      <c r="H103" s="47"/>
    </row>
    <row r="104" spans="3:8">
      <c r="C104" s="45"/>
      <c r="D104" s="65"/>
      <c r="E104" s="45"/>
      <c r="F104" s="40"/>
      <c r="G104" s="50"/>
      <c r="H104" s="47"/>
    </row>
    <row r="105" spans="3:8">
      <c r="C105" s="45"/>
      <c r="D105" s="65"/>
      <c r="E105" s="45"/>
      <c r="F105" s="40"/>
      <c r="G105" s="50"/>
      <c r="H105" s="47"/>
    </row>
    <row r="106" spans="3:8">
      <c r="C106" s="45"/>
      <c r="D106" s="65"/>
      <c r="E106" s="45"/>
      <c r="F106" s="40"/>
      <c r="G106" s="50"/>
      <c r="H106" s="47"/>
    </row>
    <row r="107" spans="3:8">
      <c r="C107" s="45"/>
      <c r="D107" s="65"/>
      <c r="E107" s="45"/>
      <c r="F107" s="40"/>
      <c r="G107" s="50"/>
      <c r="H107" s="47"/>
    </row>
    <row r="108" spans="3:8">
      <c r="C108" s="45"/>
      <c r="D108" s="65"/>
      <c r="E108" s="45"/>
      <c r="F108" s="40"/>
      <c r="G108" s="50"/>
      <c r="H108" s="47"/>
    </row>
    <row r="109" spans="3:8">
      <c r="C109" s="45"/>
      <c r="D109" s="65"/>
      <c r="E109" s="45"/>
      <c r="F109" s="40"/>
      <c r="G109" s="50"/>
      <c r="H109" s="47"/>
    </row>
    <row r="110" spans="3:8">
      <c r="C110" s="45"/>
      <c r="D110" s="65"/>
      <c r="E110" s="45"/>
      <c r="F110" s="40"/>
      <c r="G110" s="50"/>
      <c r="H110" s="47"/>
    </row>
    <row r="111" spans="3:8">
      <c r="C111" s="45"/>
      <c r="D111" s="65"/>
      <c r="E111" s="45"/>
      <c r="F111" s="40"/>
      <c r="G111" s="50"/>
      <c r="H111" s="47"/>
    </row>
    <row r="112" spans="3:8">
      <c r="C112" s="45"/>
      <c r="D112" s="65"/>
      <c r="E112" s="45"/>
      <c r="F112" s="40"/>
      <c r="G112" s="50"/>
      <c r="H112" s="47"/>
    </row>
    <row r="113" spans="3:8">
      <c r="C113" s="45"/>
      <c r="D113" s="65"/>
      <c r="E113" s="45"/>
      <c r="F113" s="40"/>
      <c r="G113" s="50"/>
      <c r="H113" s="47"/>
    </row>
    <row r="114" spans="3:8">
      <c r="C114" s="45"/>
      <c r="D114" s="65"/>
      <c r="E114" s="45"/>
      <c r="F114" s="40"/>
      <c r="G114" s="50"/>
      <c r="H114" s="50"/>
    </row>
    <row r="115" spans="3:8">
      <c r="C115" s="39"/>
      <c r="D115" s="59"/>
      <c r="E115" s="39"/>
      <c r="F115" s="60"/>
      <c r="G115" s="50">
        <v>0</v>
      </c>
      <c r="H115" s="50">
        <v>0</v>
      </c>
    </row>
    <row r="116" spans="3:8">
      <c r="C116" s="45"/>
      <c r="D116" s="65"/>
      <c r="E116" s="45"/>
      <c r="F116" s="40"/>
      <c r="G116" s="50">
        <v>0</v>
      </c>
      <c r="H116" s="61">
        <v>0</v>
      </c>
    </row>
    <row r="117" spans="3:8">
      <c r="C117" s="45"/>
      <c r="D117" s="65"/>
      <c r="E117" s="45"/>
      <c r="F117" s="40"/>
      <c r="G117" s="50">
        <v>0</v>
      </c>
      <c r="H117" s="61">
        <v>0</v>
      </c>
    </row>
    <row r="118" spans="3:8">
      <c r="C118" s="39"/>
      <c r="D118" s="44"/>
      <c r="E118" s="39"/>
      <c r="F118" s="82"/>
      <c r="G118" s="83">
        <v>0</v>
      </c>
      <c r="H118" s="61">
        <v>0</v>
      </c>
    </row>
    <row r="119" spans="3:8">
      <c r="C119" s="51" t="s">
        <v>43</v>
      </c>
      <c r="D119" s="51"/>
      <c r="E119" s="51"/>
      <c r="F119" s="52"/>
      <c r="G119" s="51"/>
      <c r="H119" s="53">
        <v>0</v>
      </c>
    </row>
    <row r="120" spans="3:8" ht="15.75">
      <c r="C120" s="66" t="s">
        <v>44</v>
      </c>
      <c r="D120" s="67"/>
      <c r="E120" s="67"/>
      <c r="F120" s="68"/>
      <c r="G120" s="69"/>
      <c r="H120" s="53">
        <v>0</v>
      </c>
    </row>
    <row r="121" spans="3:8" ht="15.75">
      <c r="C121" s="66" t="s">
        <v>45</v>
      </c>
      <c r="D121" s="67"/>
      <c r="E121" s="67"/>
      <c r="F121" s="68"/>
      <c r="G121" s="69"/>
      <c r="H121" s="70">
        <v>0</v>
      </c>
    </row>
    <row r="122" spans="3:8" ht="15.75">
      <c r="C122" s="66" t="s">
        <v>46</v>
      </c>
      <c r="D122" s="67"/>
      <c r="E122" s="67"/>
      <c r="F122" s="68"/>
      <c r="G122" s="69"/>
      <c r="H122" s="53">
        <v>0</v>
      </c>
    </row>
    <row r="123" spans="3:8">
      <c r="C123" s="21"/>
      <c r="D123" s="21"/>
      <c r="E123" s="21"/>
      <c r="F123" s="21"/>
      <c r="G123" s="21"/>
      <c r="H123" s="21"/>
    </row>
    <row r="124" spans="3:8">
      <c r="C124" s="22" t="s">
        <v>23</v>
      </c>
      <c r="D124" s="23" t="s">
        <v>63</v>
      </c>
      <c r="E124" s="23"/>
      <c r="F124" s="24"/>
      <c r="G124" s="25"/>
      <c r="H124" s="26"/>
    </row>
    <row r="125" spans="3:8">
      <c r="C125" s="27" t="s">
        <v>25</v>
      </c>
      <c r="D125" s="28" t="s">
        <v>64</v>
      </c>
      <c r="E125" s="29"/>
      <c r="F125" s="30" t="s">
        <v>27</v>
      </c>
      <c r="G125" s="31" t="s">
        <v>65</v>
      </c>
      <c r="H125" s="32">
        <v>122923.33</v>
      </c>
    </row>
    <row r="126" spans="3:8">
      <c r="C126" s="33" t="s">
        <v>29</v>
      </c>
      <c r="D126" s="33" t="s">
        <v>30</v>
      </c>
      <c r="E126" s="33" t="s">
        <v>31</v>
      </c>
      <c r="F126" s="34" t="s">
        <v>32</v>
      </c>
      <c r="G126" s="35" t="s">
        <v>33</v>
      </c>
      <c r="H126" s="35" t="s">
        <v>34</v>
      </c>
    </row>
    <row r="127" spans="3:8">
      <c r="C127" s="33"/>
      <c r="D127" s="33"/>
      <c r="E127" s="33"/>
      <c r="F127" s="34"/>
      <c r="G127" s="36"/>
      <c r="H127" s="36"/>
    </row>
    <row r="128" spans="3:8">
      <c r="C128" s="37" t="s">
        <v>35</v>
      </c>
      <c r="D128" s="38" t="s">
        <v>36</v>
      </c>
      <c r="E128" s="39"/>
      <c r="F128" s="40"/>
      <c r="G128" s="41"/>
      <c r="H128" s="42"/>
    </row>
    <row r="129" spans="3:10">
      <c r="C129" s="39"/>
      <c r="D129" s="84" t="s">
        <v>66</v>
      </c>
      <c r="E129" s="39"/>
      <c r="F129" s="49"/>
      <c r="G129" s="46"/>
      <c r="H129" s="47">
        <v>0</v>
      </c>
    </row>
    <row r="130" spans="3:10">
      <c r="C130" s="39" t="s">
        <v>49</v>
      </c>
      <c r="D130" s="65" t="s">
        <v>67</v>
      </c>
      <c r="E130" s="39" t="s">
        <v>51</v>
      </c>
      <c r="F130" s="49">
        <v>132</v>
      </c>
      <c r="G130" s="46">
        <v>44.933633313323199</v>
      </c>
      <c r="H130" s="47">
        <v>5931.2395973586699</v>
      </c>
    </row>
    <row r="131" spans="3:10">
      <c r="C131" s="51" t="s">
        <v>37</v>
      </c>
      <c r="D131" s="51"/>
      <c r="E131" s="51"/>
      <c r="F131" s="52"/>
      <c r="G131" s="51"/>
      <c r="H131" s="53">
        <v>5931.2395973586699</v>
      </c>
    </row>
    <row r="132" spans="3:10">
      <c r="C132" s="54" t="s">
        <v>38</v>
      </c>
      <c r="D132" s="55" t="s">
        <v>39</v>
      </c>
      <c r="E132" s="56"/>
      <c r="F132" s="57"/>
      <c r="G132" s="58"/>
      <c r="H132" s="58"/>
    </row>
    <row r="133" spans="3:10">
      <c r="C133" s="77" t="s">
        <v>53</v>
      </c>
      <c r="D133" s="85" t="s">
        <v>68</v>
      </c>
      <c r="E133" s="77" t="s">
        <v>69</v>
      </c>
      <c r="F133" s="86">
        <v>2</v>
      </c>
      <c r="G133" s="81">
        <v>1089</v>
      </c>
      <c r="H133" s="87">
        <v>2178</v>
      </c>
    </row>
    <row r="134" spans="3:10">
      <c r="C134" s="77" t="s">
        <v>53</v>
      </c>
      <c r="D134" s="85" t="s">
        <v>70</v>
      </c>
      <c r="E134" s="77" t="s">
        <v>69</v>
      </c>
      <c r="F134" s="86">
        <v>5</v>
      </c>
      <c r="G134" s="81">
        <v>1089</v>
      </c>
      <c r="H134" s="87">
        <v>5445</v>
      </c>
    </row>
    <row r="135" spans="3:10">
      <c r="C135" s="77" t="s">
        <v>53</v>
      </c>
      <c r="D135" s="85" t="s">
        <v>71</v>
      </c>
      <c r="E135" s="77" t="s">
        <v>69</v>
      </c>
      <c r="F135" s="86">
        <v>2</v>
      </c>
      <c r="G135" s="81">
        <v>1628</v>
      </c>
      <c r="H135" s="87">
        <v>3256</v>
      </c>
    </row>
    <row r="136" spans="3:10">
      <c r="C136" s="77" t="s">
        <v>53</v>
      </c>
      <c r="D136" s="85" t="s">
        <v>72</v>
      </c>
      <c r="E136" s="77" t="s">
        <v>69</v>
      </c>
      <c r="F136" s="86">
        <v>1</v>
      </c>
      <c r="G136" s="81">
        <v>1699.5</v>
      </c>
      <c r="H136" s="87">
        <v>1699.5</v>
      </c>
    </row>
    <row r="137" spans="3:10">
      <c r="C137" s="77" t="s">
        <v>53</v>
      </c>
      <c r="D137" s="85" t="s">
        <v>73</v>
      </c>
      <c r="E137" s="77" t="s">
        <v>69</v>
      </c>
      <c r="F137" s="86">
        <v>3</v>
      </c>
      <c r="G137" s="81">
        <v>1699.5</v>
      </c>
      <c r="H137" s="87">
        <v>5098.5</v>
      </c>
    </row>
    <row r="138" spans="3:10">
      <c r="C138" s="77" t="s">
        <v>53</v>
      </c>
      <c r="D138" s="85" t="s">
        <v>74</v>
      </c>
      <c r="E138" s="77" t="s">
        <v>69</v>
      </c>
      <c r="F138" s="86">
        <v>8</v>
      </c>
      <c r="G138" s="81">
        <v>850</v>
      </c>
      <c r="H138" s="87">
        <v>6800</v>
      </c>
    </row>
    <row r="139" spans="3:10">
      <c r="C139" s="77" t="s">
        <v>53</v>
      </c>
      <c r="D139" s="85" t="s">
        <v>75</v>
      </c>
      <c r="E139" s="77" t="s">
        <v>28</v>
      </c>
      <c r="F139" s="86">
        <v>1</v>
      </c>
      <c r="G139" s="81">
        <v>8000</v>
      </c>
      <c r="H139" s="87">
        <v>8000</v>
      </c>
    </row>
    <row r="140" spans="3:10">
      <c r="C140" s="77" t="s">
        <v>53</v>
      </c>
      <c r="D140" s="85" t="s">
        <v>76</v>
      </c>
      <c r="E140" s="77" t="s">
        <v>69</v>
      </c>
      <c r="F140" s="86">
        <v>1</v>
      </c>
      <c r="G140" s="81">
        <v>24268.303262650199</v>
      </c>
      <c r="H140" s="87">
        <v>24268.303262650199</v>
      </c>
    </row>
    <row r="141" spans="3:10">
      <c r="C141" s="51" t="s">
        <v>40</v>
      </c>
      <c r="D141" s="51"/>
      <c r="E141" s="51"/>
      <c r="F141" s="52"/>
      <c r="G141" s="51"/>
      <c r="H141" s="53">
        <v>56745.303262650203</v>
      </c>
    </row>
    <row r="142" spans="3:10">
      <c r="C142" s="54" t="s">
        <v>41</v>
      </c>
      <c r="D142" s="55" t="s">
        <v>42</v>
      </c>
      <c r="E142" s="56"/>
      <c r="F142" s="63"/>
      <c r="G142" s="64"/>
      <c r="H142" s="64">
        <v>0</v>
      </c>
    </row>
    <row r="143" spans="3:10">
      <c r="C143" s="88" t="s">
        <v>77</v>
      </c>
      <c r="D143" s="89" t="s">
        <v>78</v>
      </c>
      <c r="E143" s="88" t="s">
        <v>79</v>
      </c>
      <c r="F143" s="75">
        <v>1</v>
      </c>
      <c r="G143" s="90">
        <v>4500</v>
      </c>
      <c r="H143" s="90">
        <v>4500</v>
      </c>
    </row>
    <row r="144" spans="3:10">
      <c r="C144" s="12" t="s">
        <v>77</v>
      </c>
      <c r="D144" s="12" t="s">
        <v>80</v>
      </c>
      <c r="E144" s="91" t="s">
        <v>79</v>
      </c>
      <c r="F144" s="92">
        <v>1</v>
      </c>
      <c r="G144" s="91">
        <v>2200</v>
      </c>
      <c r="H144" s="93">
        <v>2200</v>
      </c>
      <c r="I144" s="94"/>
      <c r="J144" s="50"/>
    </row>
    <row r="145" spans="3:10">
      <c r="C145" s="12" t="s">
        <v>77</v>
      </c>
      <c r="D145" s="12" t="s">
        <v>81</v>
      </c>
      <c r="E145" s="91" t="s">
        <v>79</v>
      </c>
      <c r="F145" s="92">
        <v>1</v>
      </c>
      <c r="G145" s="91">
        <v>1500</v>
      </c>
      <c r="H145" s="93">
        <v>1500</v>
      </c>
      <c r="I145" s="94"/>
      <c r="J145" s="61"/>
    </row>
    <row r="146" spans="3:10">
      <c r="C146" s="12" t="s">
        <v>77</v>
      </c>
      <c r="D146" s="12" t="s">
        <v>82</v>
      </c>
      <c r="E146" s="91" t="s">
        <v>79</v>
      </c>
      <c r="F146" s="92">
        <v>1</v>
      </c>
      <c r="G146" s="91">
        <v>1950</v>
      </c>
      <c r="H146" s="93">
        <v>1950</v>
      </c>
      <c r="I146" s="94"/>
      <c r="J146" s="61"/>
    </row>
    <row r="147" spans="3:10">
      <c r="C147" s="12" t="s">
        <v>77</v>
      </c>
      <c r="D147" s="12" t="s">
        <v>83</v>
      </c>
      <c r="E147" s="91" t="s">
        <v>79</v>
      </c>
      <c r="F147" s="92">
        <v>1</v>
      </c>
      <c r="G147" s="91">
        <v>24000</v>
      </c>
      <c r="H147" s="93">
        <v>24000</v>
      </c>
      <c r="I147" s="94"/>
      <c r="J147" s="61"/>
    </row>
    <row r="148" spans="3:10">
      <c r="C148" s="12" t="s">
        <v>77</v>
      </c>
      <c r="D148" s="12" t="s">
        <v>84</v>
      </c>
      <c r="E148" s="91" t="s">
        <v>85</v>
      </c>
      <c r="F148" s="92">
        <v>1</v>
      </c>
      <c r="G148" s="91">
        <v>1800</v>
      </c>
      <c r="H148" s="93">
        <v>1800</v>
      </c>
      <c r="I148" s="95"/>
      <c r="J148" s="61"/>
    </row>
    <row r="149" spans="3:10">
      <c r="C149" s="96" t="s">
        <v>43</v>
      </c>
      <c r="D149" s="96"/>
      <c r="E149" s="96"/>
      <c r="F149" s="97"/>
      <c r="G149" s="96"/>
      <c r="H149" s="98">
        <v>35950</v>
      </c>
    </row>
    <row r="150" spans="3:10" ht="15.75">
      <c r="C150" s="66" t="s">
        <v>44</v>
      </c>
      <c r="D150" s="67"/>
      <c r="E150" s="67"/>
      <c r="F150" s="68"/>
      <c r="G150" s="69"/>
      <c r="H150" s="53">
        <v>98626.542860008907</v>
      </c>
    </row>
    <row r="151" spans="3:10" ht="15.75">
      <c r="C151" s="66" t="s">
        <v>45</v>
      </c>
      <c r="D151" s="67"/>
      <c r="E151" s="67"/>
      <c r="F151" s="68"/>
      <c r="G151" s="69"/>
      <c r="H151" s="70">
        <v>24296.7898931253</v>
      </c>
    </row>
    <row r="152" spans="3:10" ht="15.75">
      <c r="C152" s="66" t="s">
        <v>46</v>
      </c>
      <c r="D152" s="67"/>
      <c r="E152" s="67"/>
      <c r="F152" s="68"/>
      <c r="G152" s="69"/>
      <c r="H152" s="53">
        <v>122923.33</v>
      </c>
    </row>
    <row r="153" spans="3:10">
      <c r="C153" s="21"/>
      <c r="D153" s="21"/>
      <c r="E153" s="21"/>
      <c r="F153" s="21"/>
      <c r="G153" s="21"/>
      <c r="H153" s="21"/>
    </row>
    <row r="154" spans="3:10">
      <c r="C154" s="22" t="s">
        <v>23</v>
      </c>
      <c r="D154" s="23" t="s">
        <v>86</v>
      </c>
      <c r="E154" s="23"/>
      <c r="F154" s="24"/>
      <c r="G154" s="25"/>
      <c r="H154" s="26"/>
    </row>
    <row r="155" spans="3:10">
      <c r="C155" s="27" t="s">
        <v>25</v>
      </c>
      <c r="D155" s="28" t="s">
        <v>87</v>
      </c>
      <c r="E155" s="29"/>
      <c r="F155" s="30" t="s">
        <v>27</v>
      </c>
      <c r="G155" s="31" t="s">
        <v>28</v>
      </c>
      <c r="H155" s="32">
        <v>7847042.3600000003</v>
      </c>
    </row>
    <row r="156" spans="3:10">
      <c r="C156" s="33" t="s">
        <v>29</v>
      </c>
      <c r="D156" s="33" t="s">
        <v>30</v>
      </c>
      <c r="E156" s="33" t="s">
        <v>31</v>
      </c>
      <c r="F156" s="34" t="s">
        <v>32</v>
      </c>
      <c r="G156" s="35" t="s">
        <v>33</v>
      </c>
      <c r="H156" s="35" t="s">
        <v>34</v>
      </c>
    </row>
    <row r="157" spans="3:10">
      <c r="C157" s="33"/>
      <c r="D157" s="33"/>
      <c r="E157" s="33"/>
      <c r="F157" s="34"/>
      <c r="G157" s="36"/>
      <c r="H157" s="36"/>
    </row>
    <row r="158" spans="3:10">
      <c r="C158" s="37" t="s">
        <v>35</v>
      </c>
      <c r="D158" s="38" t="s">
        <v>36</v>
      </c>
      <c r="E158" s="39"/>
      <c r="F158" s="40"/>
      <c r="G158" s="41"/>
      <c r="H158" s="42"/>
    </row>
    <row r="159" spans="3:10">
      <c r="C159" s="39"/>
      <c r="D159" s="84" t="s">
        <v>88</v>
      </c>
      <c r="E159" s="39"/>
      <c r="F159" s="49"/>
      <c r="G159" s="46"/>
      <c r="H159" s="47">
        <v>0</v>
      </c>
    </row>
    <row r="160" spans="3:10">
      <c r="C160" s="77" t="s">
        <v>89</v>
      </c>
      <c r="D160" s="78" t="s">
        <v>90</v>
      </c>
      <c r="E160" s="77" t="s">
        <v>79</v>
      </c>
      <c r="F160" s="79">
        <v>14</v>
      </c>
      <c r="G160" s="80">
        <v>8044.6775517075603</v>
      </c>
      <c r="H160" s="81">
        <v>112625.48572390599</v>
      </c>
      <c r="J160" s="124">
        <f>(F160*G160)</f>
        <v>112625.48572390585</v>
      </c>
    </row>
    <row r="161" spans="3:8">
      <c r="C161" s="77" t="s">
        <v>89</v>
      </c>
      <c r="D161" s="78" t="s">
        <v>91</v>
      </c>
      <c r="E161" s="77" t="s">
        <v>79</v>
      </c>
      <c r="F161" s="79">
        <v>14</v>
      </c>
      <c r="G161" s="80">
        <v>11800.9723358592</v>
      </c>
      <c r="H161" s="81">
        <v>165213.612702029</v>
      </c>
    </row>
    <row r="162" spans="3:8">
      <c r="C162" s="77" t="s">
        <v>89</v>
      </c>
      <c r="D162" s="78" t="s">
        <v>92</v>
      </c>
      <c r="E162" s="77" t="s">
        <v>79</v>
      </c>
      <c r="F162" s="79">
        <v>14</v>
      </c>
      <c r="G162" s="80">
        <v>14897.717313356001</v>
      </c>
      <c r="H162" s="81">
        <v>208568.04238698399</v>
      </c>
    </row>
    <row r="163" spans="3:8">
      <c r="C163" s="77" t="s">
        <v>89</v>
      </c>
      <c r="D163" s="78" t="s">
        <v>93</v>
      </c>
      <c r="E163" s="77" t="s">
        <v>79</v>
      </c>
      <c r="F163" s="79">
        <v>0</v>
      </c>
      <c r="G163" s="80">
        <v>7000.0051697816798</v>
      </c>
      <c r="H163" s="81">
        <v>0</v>
      </c>
    </row>
    <row r="164" spans="3:8">
      <c r="C164" s="77" t="s">
        <v>89</v>
      </c>
      <c r="D164" s="78" t="s">
        <v>94</v>
      </c>
      <c r="E164" s="77" t="s">
        <v>79</v>
      </c>
      <c r="F164" s="79">
        <v>12</v>
      </c>
      <c r="G164" s="80">
        <v>6735.9354066092101</v>
      </c>
      <c r="H164" s="81">
        <v>80831.224879310495</v>
      </c>
    </row>
    <row r="165" spans="3:8">
      <c r="C165" s="77" t="s">
        <v>89</v>
      </c>
      <c r="D165" s="78" t="s">
        <v>95</v>
      </c>
      <c r="E165" s="77" t="s">
        <v>79</v>
      </c>
      <c r="F165" s="79">
        <v>0</v>
      </c>
      <c r="G165" s="80">
        <v>6735.9354066092101</v>
      </c>
      <c r="H165" s="81">
        <v>0</v>
      </c>
    </row>
    <row r="166" spans="3:8">
      <c r="C166" s="77" t="s">
        <v>89</v>
      </c>
      <c r="D166" s="78" t="s">
        <v>96</v>
      </c>
      <c r="E166" s="77" t="s">
        <v>79</v>
      </c>
      <c r="F166" s="79">
        <v>18</v>
      </c>
      <c r="G166" s="80">
        <v>16108.1868798695</v>
      </c>
      <c r="H166" s="81">
        <v>289947.36383765098</v>
      </c>
    </row>
    <row r="167" spans="3:8">
      <c r="C167" s="77" t="s">
        <v>89</v>
      </c>
      <c r="D167" s="78" t="s">
        <v>97</v>
      </c>
      <c r="E167" s="77" t="s">
        <v>79</v>
      </c>
      <c r="F167" s="79">
        <v>11</v>
      </c>
      <c r="G167" s="80">
        <v>21507.9219861571</v>
      </c>
      <c r="H167" s="81">
        <v>236587.14184772901</v>
      </c>
    </row>
    <row r="168" spans="3:8">
      <c r="C168" s="77" t="s">
        <v>89</v>
      </c>
      <c r="D168" s="78" t="s">
        <v>98</v>
      </c>
      <c r="E168" s="77" t="s">
        <v>79</v>
      </c>
      <c r="F168" s="79">
        <v>29.5</v>
      </c>
      <c r="G168" s="80">
        <v>14242.3812585333</v>
      </c>
      <c r="H168" s="81">
        <v>420150.24712673301</v>
      </c>
    </row>
    <row r="169" spans="3:8">
      <c r="C169" s="77" t="s">
        <v>89</v>
      </c>
      <c r="D169" s="78" t="s">
        <v>99</v>
      </c>
      <c r="E169" s="77" t="s">
        <v>79</v>
      </c>
      <c r="F169" s="79">
        <v>3</v>
      </c>
      <c r="G169" s="80">
        <v>16108.1868798695</v>
      </c>
      <c r="H169" s="81">
        <v>48324.560639608499</v>
      </c>
    </row>
    <row r="170" spans="3:8">
      <c r="C170" s="77" t="s">
        <v>89</v>
      </c>
      <c r="D170" s="78" t="s">
        <v>100</v>
      </c>
      <c r="E170" s="77" t="s">
        <v>79</v>
      </c>
      <c r="F170" s="79">
        <v>14</v>
      </c>
      <c r="G170" s="80">
        <v>27464.311455666699</v>
      </c>
      <c r="H170" s="81">
        <v>384500.36037933303</v>
      </c>
    </row>
    <row r="171" spans="3:8">
      <c r="C171" s="77" t="s">
        <v>89</v>
      </c>
      <c r="D171" s="78" t="s">
        <v>101</v>
      </c>
      <c r="E171" s="77" t="s">
        <v>79</v>
      </c>
      <c r="F171" s="79">
        <v>13</v>
      </c>
      <c r="G171" s="80">
        <v>27043.860244386698</v>
      </c>
      <c r="H171" s="81">
        <v>351570.18317702698</v>
      </c>
    </row>
    <row r="172" spans="3:8">
      <c r="C172" s="77" t="s">
        <v>89</v>
      </c>
      <c r="D172" s="78" t="s">
        <v>102</v>
      </c>
      <c r="E172" s="77" t="s">
        <v>79</v>
      </c>
      <c r="F172" s="79">
        <v>13</v>
      </c>
      <c r="G172" s="80">
        <v>27464.311455666699</v>
      </c>
      <c r="H172" s="81">
        <v>357036.048923667</v>
      </c>
    </row>
    <row r="173" spans="3:8">
      <c r="C173" s="77" t="s">
        <v>89</v>
      </c>
      <c r="D173" s="78" t="s">
        <v>103</v>
      </c>
      <c r="E173" s="77" t="s">
        <v>79</v>
      </c>
      <c r="F173" s="79">
        <v>15</v>
      </c>
      <c r="G173" s="80">
        <v>32238.561156666699</v>
      </c>
      <c r="H173" s="81">
        <v>483578.41735</v>
      </c>
    </row>
    <row r="174" spans="3:8">
      <c r="C174" s="77" t="s">
        <v>89</v>
      </c>
      <c r="D174" s="78" t="s">
        <v>104</v>
      </c>
      <c r="E174" s="77" t="s">
        <v>79</v>
      </c>
      <c r="F174" s="79">
        <v>14</v>
      </c>
      <c r="G174" s="80">
        <v>10516.716940246301</v>
      </c>
      <c r="H174" s="81">
        <v>147234.037163448</v>
      </c>
    </row>
    <row r="175" spans="3:8">
      <c r="C175" s="77" t="s">
        <v>89</v>
      </c>
      <c r="D175" s="78" t="s">
        <v>105</v>
      </c>
      <c r="E175" s="77" t="s">
        <v>79</v>
      </c>
      <c r="F175" s="79">
        <v>11</v>
      </c>
      <c r="G175" s="80">
        <v>7837.4543666484096</v>
      </c>
      <c r="H175" s="81">
        <v>86211.998033132506</v>
      </c>
    </row>
    <row r="176" spans="3:8">
      <c r="C176" s="77" t="s">
        <v>89</v>
      </c>
      <c r="D176" s="78" t="s">
        <v>106</v>
      </c>
      <c r="E176" s="77" t="s">
        <v>79</v>
      </c>
      <c r="F176" s="79">
        <v>18</v>
      </c>
      <c r="G176" s="80">
        <v>19366.937234816</v>
      </c>
      <c r="H176" s="81">
        <v>348604.87022668798</v>
      </c>
    </row>
    <row r="177" spans="3:8">
      <c r="C177" s="77" t="s">
        <v>89</v>
      </c>
      <c r="D177" s="78" t="s">
        <v>107</v>
      </c>
      <c r="E177" s="77" t="s">
        <v>79</v>
      </c>
      <c r="F177" s="79">
        <v>14</v>
      </c>
      <c r="G177" s="80">
        <v>11883.0569985852</v>
      </c>
      <c r="H177" s="81">
        <v>166362.79798019299</v>
      </c>
    </row>
    <row r="178" spans="3:8">
      <c r="C178" s="77" t="s">
        <v>89</v>
      </c>
      <c r="D178" s="78" t="s">
        <v>108</v>
      </c>
      <c r="E178" s="77" t="s">
        <v>79</v>
      </c>
      <c r="F178" s="79">
        <v>36</v>
      </c>
      <c r="G178" s="80">
        <v>12459.719718500301</v>
      </c>
      <c r="H178" s="81">
        <v>448549.90986601199</v>
      </c>
    </row>
    <row r="179" spans="3:8">
      <c r="C179" s="77" t="s">
        <v>89</v>
      </c>
      <c r="D179" s="78" t="s">
        <v>109</v>
      </c>
      <c r="E179" s="77" t="s">
        <v>79</v>
      </c>
      <c r="F179" s="79">
        <v>14</v>
      </c>
      <c r="G179" s="80">
        <v>14920.261740677801</v>
      </c>
      <c r="H179" s="81">
        <v>208883.66436948901</v>
      </c>
    </row>
    <row r="180" spans="3:8">
      <c r="C180" s="77" t="s">
        <v>89</v>
      </c>
      <c r="D180" s="78" t="s">
        <v>110</v>
      </c>
      <c r="E180" s="77" t="s">
        <v>79</v>
      </c>
      <c r="F180" s="79">
        <v>11</v>
      </c>
      <c r="G180" s="80">
        <v>11883.0569985852</v>
      </c>
      <c r="H180" s="81">
        <v>130713.626984437</v>
      </c>
    </row>
    <row r="181" spans="3:8">
      <c r="C181" s="77" t="s">
        <v>89</v>
      </c>
      <c r="D181" s="78" t="s">
        <v>111</v>
      </c>
      <c r="E181" s="77" t="s">
        <v>79</v>
      </c>
      <c r="F181" s="79">
        <v>13</v>
      </c>
      <c r="G181" s="80">
        <v>10243.3313016132</v>
      </c>
      <c r="H181" s="81">
        <v>133163.30692097099</v>
      </c>
    </row>
    <row r="182" spans="3:8">
      <c r="C182" s="51" t="s">
        <v>37</v>
      </c>
      <c r="D182" s="51"/>
      <c r="E182" s="51"/>
      <c r="F182" s="52"/>
      <c r="G182" s="51"/>
      <c r="H182" s="53">
        <v>4808656.9005183503</v>
      </c>
    </row>
    <row r="183" spans="3:8">
      <c r="C183" s="54" t="s">
        <v>38</v>
      </c>
      <c r="D183" s="55" t="s">
        <v>39</v>
      </c>
      <c r="E183" s="56"/>
      <c r="F183" s="57"/>
      <c r="G183" s="58"/>
      <c r="H183" s="58"/>
    </row>
    <row r="184" spans="3:8">
      <c r="C184" s="77" t="s">
        <v>53</v>
      </c>
      <c r="D184" s="85" t="s">
        <v>112</v>
      </c>
      <c r="E184" s="77" t="s">
        <v>69</v>
      </c>
      <c r="F184" s="86">
        <v>46</v>
      </c>
      <c r="G184" s="81">
        <v>25500</v>
      </c>
      <c r="H184" s="87">
        <v>1173000</v>
      </c>
    </row>
    <row r="185" spans="3:8">
      <c r="C185" s="77" t="s">
        <v>53</v>
      </c>
      <c r="D185" s="85" t="s">
        <v>113</v>
      </c>
      <c r="E185" s="77" t="s">
        <v>69</v>
      </c>
      <c r="F185" s="86">
        <v>80</v>
      </c>
      <c r="G185" s="81">
        <v>1700</v>
      </c>
      <c r="H185" s="87">
        <v>136000</v>
      </c>
    </row>
    <row r="186" spans="3:8">
      <c r="C186" s="77" t="s">
        <v>53</v>
      </c>
      <c r="D186" s="85" t="s">
        <v>114</v>
      </c>
      <c r="E186" s="77" t="s">
        <v>69</v>
      </c>
      <c r="F186" s="86">
        <v>67</v>
      </c>
      <c r="G186" s="81">
        <v>3500</v>
      </c>
      <c r="H186" s="87">
        <v>234500</v>
      </c>
    </row>
    <row r="187" spans="3:8">
      <c r="C187" s="51" t="s">
        <v>40</v>
      </c>
      <c r="D187" s="51"/>
      <c r="E187" s="51"/>
      <c r="F187" s="52"/>
      <c r="G187" s="51"/>
      <c r="H187" s="53">
        <v>1543500</v>
      </c>
    </row>
    <row r="188" spans="3:8">
      <c r="C188" s="54" t="s">
        <v>41</v>
      </c>
      <c r="D188" s="55" t="s">
        <v>42</v>
      </c>
      <c r="E188" s="56"/>
      <c r="F188" s="63"/>
      <c r="G188" s="64"/>
      <c r="H188" s="64">
        <v>0</v>
      </c>
    </row>
    <row r="189" spans="3:8">
      <c r="C189" s="45"/>
      <c r="D189" s="99"/>
      <c r="E189" s="45"/>
      <c r="F189" s="40"/>
      <c r="G189" s="50"/>
      <c r="H189" s="50"/>
    </row>
    <row r="190" spans="3:8">
      <c r="C190" s="45"/>
      <c r="D190" s="99"/>
      <c r="E190" s="45"/>
      <c r="F190" s="40"/>
      <c r="G190" s="50"/>
      <c r="H190" s="50"/>
    </row>
    <row r="191" spans="3:8">
      <c r="C191" s="45"/>
      <c r="D191" s="99"/>
      <c r="E191" s="45"/>
      <c r="F191" s="40"/>
      <c r="G191" s="50"/>
      <c r="H191" s="50"/>
    </row>
    <row r="192" spans="3:8">
      <c r="C192" s="45"/>
      <c r="D192" s="99"/>
      <c r="E192" s="45"/>
      <c r="F192" s="40"/>
      <c r="G192" s="50"/>
      <c r="H192" s="50"/>
    </row>
    <row r="193" spans="3:8">
      <c r="C193" s="45"/>
      <c r="D193" s="99"/>
      <c r="E193" s="45"/>
      <c r="F193" s="40"/>
      <c r="G193" s="50"/>
      <c r="H193" s="50"/>
    </row>
    <row r="194" spans="3:8">
      <c r="C194" s="45"/>
      <c r="D194" s="99"/>
      <c r="E194" s="45"/>
      <c r="F194" s="40"/>
      <c r="G194" s="50"/>
      <c r="H194" s="50"/>
    </row>
    <row r="195" spans="3:8">
      <c r="C195" s="39"/>
      <c r="D195" s="59"/>
      <c r="E195" s="39"/>
      <c r="F195" s="82"/>
      <c r="G195" s="83"/>
      <c r="H195" s="61"/>
    </row>
    <row r="196" spans="3:8">
      <c r="C196" s="51" t="s">
        <v>43</v>
      </c>
      <c r="D196" s="51"/>
      <c r="E196" s="51"/>
      <c r="F196" s="52"/>
      <c r="G196" s="51"/>
      <c r="H196" s="53">
        <v>0</v>
      </c>
    </row>
    <row r="197" spans="3:8" ht="15.75">
      <c r="C197" s="66" t="s">
        <v>44</v>
      </c>
      <c r="D197" s="67"/>
      <c r="E197" s="67"/>
      <c r="F197" s="68"/>
      <c r="G197" s="69"/>
      <c r="H197" s="53">
        <v>6352156.9005183503</v>
      </c>
    </row>
    <row r="198" spans="3:8" ht="15.75">
      <c r="C198" s="66" t="s">
        <v>45</v>
      </c>
      <c r="D198" s="67"/>
      <c r="E198" s="67"/>
      <c r="F198" s="68"/>
      <c r="G198" s="69"/>
      <c r="H198" s="70">
        <v>1494885.4599649699</v>
      </c>
    </row>
    <row r="199" spans="3:8" ht="15.75">
      <c r="C199" s="66" t="s">
        <v>46</v>
      </c>
      <c r="D199" s="67"/>
      <c r="E199" s="67"/>
      <c r="F199" s="68"/>
      <c r="G199" s="69"/>
      <c r="H199" s="53">
        <v>7847042.3600000003</v>
      </c>
    </row>
    <row r="200" spans="3:8">
      <c r="C200" s="21"/>
      <c r="D200" s="21"/>
      <c r="E200" s="21"/>
      <c r="F200" s="21"/>
      <c r="G200" s="21"/>
      <c r="H200" s="21"/>
    </row>
    <row r="201" spans="3:8" ht="33.75" customHeight="1">
      <c r="C201" s="22" t="s">
        <v>23</v>
      </c>
      <c r="D201" s="23" t="s">
        <v>115</v>
      </c>
      <c r="E201" s="23"/>
      <c r="F201" s="24"/>
      <c r="G201" s="25"/>
      <c r="H201" s="26"/>
    </row>
    <row r="202" spans="3:8">
      <c r="C202" s="27" t="s">
        <v>25</v>
      </c>
      <c r="D202" s="28" t="s">
        <v>116</v>
      </c>
      <c r="E202" s="29"/>
      <c r="F202" s="30" t="s">
        <v>27</v>
      </c>
      <c r="G202" s="31" t="s">
        <v>28</v>
      </c>
      <c r="H202" s="32">
        <v>0</v>
      </c>
    </row>
    <row r="203" spans="3:8">
      <c r="C203" s="33" t="s">
        <v>29</v>
      </c>
      <c r="D203" s="33" t="s">
        <v>30</v>
      </c>
      <c r="E203" s="33" t="s">
        <v>31</v>
      </c>
      <c r="F203" s="34" t="s">
        <v>32</v>
      </c>
      <c r="G203" s="35" t="s">
        <v>33</v>
      </c>
      <c r="H203" s="35" t="s">
        <v>34</v>
      </c>
    </row>
    <row r="204" spans="3:8">
      <c r="C204" s="33"/>
      <c r="D204" s="33"/>
      <c r="E204" s="33"/>
      <c r="F204" s="34"/>
      <c r="G204" s="36"/>
      <c r="H204" s="36"/>
    </row>
    <row r="205" spans="3:8">
      <c r="C205" s="37" t="s">
        <v>35</v>
      </c>
      <c r="D205" s="38" t="s">
        <v>36</v>
      </c>
      <c r="E205" s="39"/>
      <c r="F205" s="40"/>
      <c r="G205" s="41"/>
      <c r="H205" s="42"/>
    </row>
    <row r="206" spans="3:8">
      <c r="C206" s="39"/>
      <c r="D206" s="76"/>
      <c r="E206" s="45"/>
      <c r="F206" s="49"/>
      <c r="G206" s="47"/>
      <c r="H206" s="100"/>
    </row>
    <row r="207" spans="3:8">
      <c r="C207" s="39"/>
      <c r="D207" s="76"/>
      <c r="E207" s="45"/>
      <c r="F207" s="49"/>
      <c r="G207" s="47"/>
      <c r="H207" s="100"/>
    </row>
    <row r="208" spans="3:8">
      <c r="C208" s="39"/>
      <c r="D208" s="76"/>
      <c r="E208" s="45"/>
      <c r="F208" s="49"/>
      <c r="G208" s="47"/>
      <c r="H208" s="100"/>
    </row>
    <row r="209" spans="3:8">
      <c r="C209" s="39"/>
      <c r="D209" s="76"/>
      <c r="E209" s="45"/>
      <c r="F209" s="49"/>
      <c r="G209" s="47"/>
      <c r="H209" s="100"/>
    </row>
    <row r="210" spans="3:8">
      <c r="C210" s="43"/>
      <c r="D210" s="65"/>
      <c r="E210" s="39"/>
      <c r="F210" s="60"/>
      <c r="G210" s="62">
        <v>0</v>
      </c>
      <c r="H210" s="47">
        <v>0</v>
      </c>
    </row>
    <row r="211" spans="3:8">
      <c r="C211" s="43"/>
      <c r="D211" s="65"/>
      <c r="E211" s="39"/>
      <c r="F211" s="60"/>
      <c r="G211" s="46">
        <v>0</v>
      </c>
      <c r="H211" s="47">
        <v>0</v>
      </c>
    </row>
    <row r="212" spans="3:8">
      <c r="C212" s="43"/>
      <c r="D212" s="44"/>
      <c r="E212" s="39"/>
      <c r="F212" s="49"/>
      <c r="G212" s="46">
        <v>0</v>
      </c>
      <c r="H212" s="47">
        <v>0</v>
      </c>
    </row>
    <row r="213" spans="3:8">
      <c r="C213" s="51" t="s">
        <v>37</v>
      </c>
      <c r="D213" s="51"/>
      <c r="E213" s="51"/>
      <c r="F213" s="52"/>
      <c r="G213" s="51"/>
      <c r="H213" s="53">
        <v>0</v>
      </c>
    </row>
    <row r="214" spans="3:8">
      <c r="C214" s="54" t="s">
        <v>38</v>
      </c>
      <c r="D214" s="55" t="s">
        <v>39</v>
      </c>
      <c r="E214" s="56"/>
      <c r="F214" s="57"/>
      <c r="G214" s="58"/>
      <c r="H214" s="58"/>
    </row>
    <row r="215" spans="3:8">
      <c r="C215" s="39"/>
      <c r="D215" s="76"/>
      <c r="E215" s="45"/>
      <c r="F215" s="49"/>
      <c r="G215" s="47"/>
      <c r="H215" s="100"/>
    </row>
    <row r="216" spans="3:8">
      <c r="C216" s="39"/>
      <c r="D216" s="44"/>
      <c r="E216" s="39"/>
      <c r="F216" s="60"/>
      <c r="G216" s="47"/>
      <c r="H216" s="100"/>
    </row>
    <row r="217" spans="3:8">
      <c r="C217" s="39"/>
      <c r="D217" s="59"/>
      <c r="E217" s="39"/>
      <c r="F217" s="49"/>
      <c r="G217" s="47"/>
      <c r="H217" s="100"/>
    </row>
    <row r="218" spans="3:8">
      <c r="C218" s="39"/>
      <c r="D218" s="76"/>
      <c r="E218" s="39"/>
      <c r="F218" s="49"/>
      <c r="G218" s="47"/>
      <c r="H218" s="100"/>
    </row>
    <row r="219" spans="3:8">
      <c r="C219" s="39"/>
      <c r="D219" s="76"/>
      <c r="E219" s="39"/>
      <c r="F219" s="49"/>
      <c r="G219" s="47"/>
      <c r="H219" s="61"/>
    </row>
    <row r="220" spans="3:8">
      <c r="C220" s="39"/>
      <c r="D220" s="76"/>
      <c r="E220" s="39"/>
      <c r="F220" s="49"/>
      <c r="G220" s="47">
        <v>0</v>
      </c>
      <c r="H220" s="61">
        <v>0</v>
      </c>
    </row>
    <row r="221" spans="3:8">
      <c r="C221" s="39"/>
      <c r="D221" s="76"/>
      <c r="E221" s="39"/>
      <c r="F221" s="49"/>
      <c r="G221" s="62">
        <v>0</v>
      </c>
      <c r="H221" s="61">
        <v>0</v>
      </c>
    </row>
    <row r="222" spans="3:8">
      <c r="C222" s="39"/>
      <c r="D222" s="44"/>
      <c r="E222" s="39"/>
      <c r="F222" s="49"/>
      <c r="G222" s="47">
        <v>0</v>
      </c>
      <c r="H222" s="61">
        <v>0</v>
      </c>
    </row>
    <row r="223" spans="3:8">
      <c r="C223" s="51" t="s">
        <v>40</v>
      </c>
      <c r="D223" s="51"/>
      <c r="E223" s="51"/>
      <c r="F223" s="52"/>
      <c r="G223" s="51"/>
      <c r="H223" s="53">
        <v>0</v>
      </c>
    </row>
    <row r="224" spans="3:8">
      <c r="C224" s="54" t="s">
        <v>41</v>
      </c>
      <c r="D224" s="55" t="s">
        <v>42</v>
      </c>
      <c r="E224" s="56"/>
      <c r="F224" s="63"/>
      <c r="G224" s="50">
        <v>0</v>
      </c>
      <c r="H224" s="64">
        <v>0</v>
      </c>
    </row>
    <row r="225" spans="3:8">
      <c r="C225" s="39"/>
      <c r="D225" s="76"/>
      <c r="E225" s="39"/>
      <c r="F225" s="49"/>
      <c r="G225" s="47"/>
      <c r="H225" s="100"/>
    </row>
    <row r="226" spans="3:8">
      <c r="C226" s="39"/>
      <c r="D226" s="76"/>
      <c r="E226" s="39"/>
      <c r="F226" s="49"/>
      <c r="G226" s="47"/>
      <c r="H226" s="100"/>
    </row>
    <row r="227" spans="3:8">
      <c r="C227" s="39"/>
      <c r="D227" s="44"/>
      <c r="E227" s="39"/>
      <c r="F227" s="82"/>
      <c r="G227" s="83">
        <v>0</v>
      </c>
      <c r="H227" s="61">
        <v>0</v>
      </c>
    </row>
    <row r="228" spans="3:8">
      <c r="C228" s="51" t="s">
        <v>43</v>
      </c>
      <c r="D228" s="51"/>
      <c r="E228" s="51"/>
      <c r="F228" s="52"/>
      <c r="G228" s="51"/>
      <c r="H228" s="53">
        <v>0</v>
      </c>
    </row>
    <row r="229" spans="3:8" ht="15.75">
      <c r="C229" s="66" t="s">
        <v>44</v>
      </c>
      <c r="D229" s="67"/>
      <c r="E229" s="67"/>
      <c r="F229" s="68"/>
      <c r="G229" s="69"/>
      <c r="H229" s="53">
        <v>0</v>
      </c>
    </row>
    <row r="230" spans="3:8" ht="15.75">
      <c r="C230" s="66" t="s">
        <v>45</v>
      </c>
      <c r="D230" s="67"/>
      <c r="E230" s="67"/>
      <c r="F230" s="68"/>
      <c r="G230" s="69"/>
      <c r="H230" s="70">
        <v>0</v>
      </c>
    </row>
    <row r="231" spans="3:8" ht="15.75">
      <c r="C231" s="66" t="s">
        <v>46</v>
      </c>
      <c r="D231" s="67"/>
      <c r="E231" s="67"/>
      <c r="F231" s="68"/>
      <c r="G231" s="69"/>
      <c r="H231" s="53">
        <v>0</v>
      </c>
    </row>
    <row r="232" spans="3:8">
      <c r="C232" s="21"/>
      <c r="D232" s="21"/>
      <c r="E232" s="21"/>
      <c r="F232" s="21"/>
      <c r="G232" s="21"/>
      <c r="H232" s="21"/>
    </row>
    <row r="233" spans="3:8" ht="24" customHeight="1">
      <c r="C233" s="22" t="s">
        <v>23</v>
      </c>
      <c r="D233" s="23" t="s">
        <v>117</v>
      </c>
      <c r="E233" s="23"/>
      <c r="F233" s="24"/>
      <c r="G233" s="25"/>
      <c r="H233" s="26"/>
    </row>
    <row r="234" spans="3:8">
      <c r="C234" s="27" t="s">
        <v>25</v>
      </c>
      <c r="D234" s="28" t="s">
        <v>118</v>
      </c>
      <c r="E234" s="29"/>
      <c r="F234" s="30" t="s">
        <v>27</v>
      </c>
      <c r="G234" s="31" t="s">
        <v>119</v>
      </c>
      <c r="H234" s="32">
        <v>44245.48</v>
      </c>
    </row>
    <row r="235" spans="3:8">
      <c r="C235" s="33" t="s">
        <v>29</v>
      </c>
      <c r="D235" s="33" t="s">
        <v>30</v>
      </c>
      <c r="E235" s="33" t="s">
        <v>31</v>
      </c>
      <c r="F235" s="34" t="s">
        <v>32</v>
      </c>
      <c r="G235" s="35" t="s">
        <v>33</v>
      </c>
      <c r="H235" s="35" t="s">
        <v>34</v>
      </c>
    </row>
    <row r="236" spans="3:8">
      <c r="C236" s="33"/>
      <c r="D236" s="33"/>
      <c r="E236" s="33"/>
      <c r="F236" s="34"/>
      <c r="G236" s="36"/>
      <c r="H236" s="36"/>
    </row>
    <row r="237" spans="3:8">
      <c r="C237" s="37" t="s">
        <v>35</v>
      </c>
      <c r="D237" s="38" t="s">
        <v>36</v>
      </c>
      <c r="E237" s="39"/>
      <c r="F237" s="40"/>
      <c r="G237" s="41"/>
      <c r="H237" s="42"/>
    </row>
    <row r="238" spans="3:8">
      <c r="C238" s="39" t="s">
        <v>120</v>
      </c>
      <c r="D238" s="71" t="s">
        <v>117</v>
      </c>
      <c r="E238" s="39" t="s">
        <v>119</v>
      </c>
      <c r="F238" s="60">
        <v>1</v>
      </c>
      <c r="G238" s="46">
        <v>10500</v>
      </c>
      <c r="H238" s="47">
        <v>10500</v>
      </c>
    </row>
    <row r="239" spans="3:8">
      <c r="C239" s="39"/>
      <c r="D239" s="65"/>
      <c r="E239" s="39"/>
      <c r="F239" s="60"/>
      <c r="G239" s="46"/>
      <c r="H239" s="47">
        <v>0</v>
      </c>
    </row>
    <row r="240" spans="3:8">
      <c r="C240" s="45"/>
      <c r="D240" s="65"/>
      <c r="E240" s="45"/>
      <c r="F240" s="101"/>
      <c r="G240" s="50"/>
      <c r="H240" s="100">
        <v>0</v>
      </c>
    </row>
    <row r="241" spans="3:8">
      <c r="C241" s="45"/>
      <c r="D241" s="65"/>
      <c r="E241" s="45"/>
      <c r="F241" s="101"/>
      <c r="G241" s="50"/>
      <c r="H241" s="100">
        <v>0</v>
      </c>
    </row>
    <row r="242" spans="3:8">
      <c r="C242" s="51" t="s">
        <v>37</v>
      </c>
      <c r="D242" s="51"/>
      <c r="E242" s="51"/>
      <c r="F242" s="52"/>
      <c r="G242" s="51"/>
      <c r="H242" s="53">
        <v>10500</v>
      </c>
    </row>
    <row r="243" spans="3:8">
      <c r="C243" s="54" t="s">
        <v>38</v>
      </c>
      <c r="D243" s="55" t="s">
        <v>39</v>
      </c>
      <c r="E243" s="56"/>
      <c r="F243" s="57"/>
      <c r="G243" s="58"/>
      <c r="H243" s="58"/>
    </row>
    <row r="244" spans="3:8">
      <c r="C244" s="39" t="s">
        <v>53</v>
      </c>
      <c r="D244" s="44" t="s">
        <v>121</v>
      </c>
      <c r="E244" s="39" t="s">
        <v>119</v>
      </c>
      <c r="F244" s="60">
        <v>1</v>
      </c>
      <c r="G244" s="46">
        <v>25000</v>
      </c>
      <c r="H244" s="61">
        <v>25000</v>
      </c>
    </row>
    <row r="245" spans="3:8">
      <c r="C245" s="39"/>
      <c r="D245" s="44"/>
      <c r="E245" s="39"/>
      <c r="F245" s="60"/>
      <c r="G245" s="46"/>
      <c r="H245" s="61">
        <v>0</v>
      </c>
    </row>
    <row r="246" spans="3:8">
      <c r="C246" s="39"/>
      <c r="D246" s="44"/>
      <c r="E246" s="39"/>
      <c r="F246" s="60"/>
      <c r="G246" s="46"/>
      <c r="H246" s="61">
        <v>0</v>
      </c>
    </row>
    <row r="247" spans="3:8">
      <c r="C247" s="39"/>
      <c r="D247" s="44"/>
      <c r="E247" s="39"/>
      <c r="F247" s="60"/>
      <c r="G247" s="46"/>
      <c r="H247" s="61">
        <v>0</v>
      </c>
    </row>
    <row r="248" spans="3:8">
      <c r="C248" s="39"/>
      <c r="D248" s="59"/>
      <c r="E248" s="39"/>
      <c r="F248" s="60"/>
      <c r="G248" s="46"/>
      <c r="H248" s="61">
        <v>0</v>
      </c>
    </row>
    <row r="249" spans="3:8">
      <c r="C249" s="39"/>
      <c r="D249" s="59"/>
      <c r="E249" s="39"/>
      <c r="F249" s="60"/>
      <c r="G249" s="46"/>
      <c r="H249" s="61">
        <v>0</v>
      </c>
    </row>
    <row r="250" spans="3:8">
      <c r="C250" s="39"/>
      <c r="D250" s="59"/>
      <c r="E250" s="39"/>
      <c r="F250" s="60"/>
      <c r="G250" s="46"/>
      <c r="H250" s="61">
        <v>0</v>
      </c>
    </row>
    <row r="251" spans="3:8">
      <c r="C251" s="39"/>
      <c r="D251" s="59"/>
      <c r="E251" s="39"/>
      <c r="F251" s="60"/>
      <c r="G251" s="46"/>
      <c r="H251" s="61">
        <v>0</v>
      </c>
    </row>
    <row r="252" spans="3:8">
      <c r="C252" s="39"/>
      <c r="D252" s="59"/>
      <c r="E252" s="39"/>
      <c r="F252" s="49"/>
      <c r="G252" s="47"/>
      <c r="H252" s="61">
        <v>0</v>
      </c>
    </row>
    <row r="253" spans="3:8">
      <c r="C253" s="51" t="s">
        <v>40</v>
      </c>
      <c r="D253" s="51"/>
      <c r="E253" s="51"/>
      <c r="F253" s="52"/>
      <c r="G253" s="51"/>
      <c r="H253" s="53">
        <v>25000</v>
      </c>
    </row>
    <row r="254" spans="3:8">
      <c r="C254" s="54" t="s">
        <v>41</v>
      </c>
      <c r="D254" s="55" t="s">
        <v>42</v>
      </c>
      <c r="E254" s="56"/>
      <c r="F254" s="63"/>
      <c r="G254" s="64"/>
      <c r="H254" s="64">
        <v>0</v>
      </c>
    </row>
    <row r="255" spans="3:8">
      <c r="C255" s="39"/>
      <c r="D255" s="44"/>
      <c r="E255" s="39"/>
      <c r="F255" s="60"/>
      <c r="G255" s="46"/>
      <c r="H255" s="50">
        <v>0</v>
      </c>
    </row>
    <row r="256" spans="3:8">
      <c r="C256" s="39"/>
      <c r="D256" s="44"/>
      <c r="E256" s="39"/>
      <c r="F256" s="60"/>
      <c r="G256" s="46"/>
      <c r="H256" s="50">
        <v>0</v>
      </c>
    </row>
    <row r="257" spans="3:8">
      <c r="C257" s="39"/>
      <c r="D257" s="44"/>
      <c r="E257" s="39"/>
      <c r="F257" s="60"/>
      <c r="G257" s="46"/>
      <c r="H257" s="61">
        <v>0</v>
      </c>
    </row>
    <row r="258" spans="3:8">
      <c r="C258" s="39"/>
      <c r="D258" s="44"/>
      <c r="E258" s="39"/>
      <c r="F258" s="60"/>
      <c r="G258" s="46"/>
      <c r="H258" s="61">
        <v>0</v>
      </c>
    </row>
    <row r="259" spans="3:8">
      <c r="C259" s="45"/>
      <c r="D259" s="65"/>
      <c r="E259" s="45"/>
      <c r="F259" s="40"/>
      <c r="G259" s="50"/>
      <c r="H259" s="61">
        <v>0</v>
      </c>
    </row>
    <row r="260" spans="3:8">
      <c r="C260" s="45"/>
      <c r="D260" s="65"/>
      <c r="E260" s="45"/>
      <c r="F260" s="40"/>
      <c r="G260" s="50">
        <v>0</v>
      </c>
      <c r="H260" s="61">
        <v>0</v>
      </c>
    </row>
    <row r="261" spans="3:8">
      <c r="C261" s="39"/>
      <c r="D261" s="44"/>
      <c r="E261" s="39"/>
      <c r="F261" s="82"/>
      <c r="G261" s="83">
        <v>0</v>
      </c>
      <c r="H261" s="61">
        <v>0</v>
      </c>
    </row>
    <row r="262" spans="3:8">
      <c r="C262" s="51" t="s">
        <v>43</v>
      </c>
      <c r="D262" s="51"/>
      <c r="E262" s="51"/>
      <c r="F262" s="52"/>
      <c r="G262" s="51"/>
      <c r="H262" s="53">
        <v>0</v>
      </c>
    </row>
    <row r="263" spans="3:8" ht="15.75">
      <c r="C263" s="66" t="s">
        <v>44</v>
      </c>
      <c r="D263" s="67"/>
      <c r="E263" s="67"/>
      <c r="F263" s="68"/>
      <c r="G263" s="69"/>
      <c r="H263" s="53">
        <v>35500</v>
      </c>
    </row>
    <row r="264" spans="3:8" ht="15.75">
      <c r="C264" s="66" t="s">
        <v>45</v>
      </c>
      <c r="D264" s="67"/>
      <c r="E264" s="67"/>
      <c r="F264" s="68"/>
      <c r="G264" s="69"/>
      <c r="H264" s="70">
        <v>8745.4757734967807</v>
      </c>
    </row>
    <row r="265" spans="3:8" ht="15.75">
      <c r="C265" s="66" t="s">
        <v>46</v>
      </c>
      <c r="D265" s="67"/>
      <c r="E265" s="67"/>
      <c r="F265" s="68"/>
      <c r="G265" s="69"/>
      <c r="H265" s="53">
        <v>44245.48</v>
      </c>
    </row>
    <row r="266" spans="3:8">
      <c r="C266" s="21"/>
      <c r="D266" s="21"/>
      <c r="E266" s="21"/>
      <c r="F266" s="21"/>
      <c r="G266" s="21"/>
      <c r="H266" s="21"/>
    </row>
    <row r="267" spans="3:8" ht="32.25" customHeight="1">
      <c r="C267" s="22" t="s">
        <v>23</v>
      </c>
      <c r="D267" s="23" t="s">
        <v>122</v>
      </c>
      <c r="E267" s="23"/>
      <c r="F267" s="24"/>
      <c r="G267" s="25"/>
      <c r="H267" s="26"/>
    </row>
    <row r="268" spans="3:8">
      <c r="C268" s="27" t="s">
        <v>25</v>
      </c>
      <c r="D268" s="28" t="s">
        <v>123</v>
      </c>
      <c r="E268" s="29"/>
      <c r="F268" s="30" t="s">
        <v>27</v>
      </c>
      <c r="G268" s="31" t="s">
        <v>124</v>
      </c>
      <c r="H268" s="32">
        <v>2449.86</v>
      </c>
    </row>
    <row r="269" spans="3:8">
      <c r="C269" s="33" t="s">
        <v>29</v>
      </c>
      <c r="D269" s="33" t="s">
        <v>30</v>
      </c>
      <c r="E269" s="33" t="s">
        <v>31</v>
      </c>
      <c r="F269" s="34" t="s">
        <v>32</v>
      </c>
      <c r="G269" s="35" t="s">
        <v>33</v>
      </c>
      <c r="H269" s="35" t="s">
        <v>34</v>
      </c>
    </row>
    <row r="270" spans="3:8">
      <c r="C270" s="33"/>
      <c r="D270" s="33"/>
      <c r="E270" s="33"/>
      <c r="F270" s="34"/>
      <c r="G270" s="36"/>
      <c r="H270" s="36"/>
    </row>
    <row r="271" spans="3:8">
      <c r="C271" s="37" t="s">
        <v>35</v>
      </c>
      <c r="D271" s="38" t="s">
        <v>36</v>
      </c>
      <c r="E271" s="39"/>
      <c r="F271" s="40"/>
      <c r="G271" s="41"/>
      <c r="H271" s="42"/>
    </row>
    <row r="272" spans="3:8">
      <c r="C272" s="39" t="s">
        <v>120</v>
      </c>
      <c r="D272" s="74" t="s">
        <v>122</v>
      </c>
      <c r="E272" s="39" t="s">
        <v>125</v>
      </c>
      <c r="F272" s="40">
        <v>1</v>
      </c>
      <c r="G272" s="47">
        <v>1965.625</v>
      </c>
      <c r="H272" s="47">
        <v>1965.625</v>
      </c>
    </row>
    <row r="273" spans="3:8">
      <c r="C273" s="39"/>
      <c r="D273" s="65"/>
      <c r="E273" s="39"/>
      <c r="F273" s="60"/>
      <c r="G273" s="46">
        <v>0</v>
      </c>
      <c r="H273" s="47">
        <v>0</v>
      </c>
    </row>
    <row r="274" spans="3:8">
      <c r="C274" s="39"/>
      <c r="D274" s="65"/>
      <c r="E274" s="39"/>
      <c r="F274" s="60"/>
      <c r="G274" s="46">
        <v>0</v>
      </c>
      <c r="H274" s="47">
        <v>0</v>
      </c>
    </row>
    <row r="275" spans="3:8">
      <c r="C275" s="39"/>
      <c r="D275" s="65"/>
      <c r="E275" s="39"/>
      <c r="F275" s="60"/>
      <c r="G275" s="46">
        <v>0</v>
      </c>
      <c r="H275" s="47">
        <v>0</v>
      </c>
    </row>
    <row r="276" spans="3:8">
      <c r="C276" s="39"/>
      <c r="D276" s="65"/>
      <c r="E276" s="39"/>
      <c r="F276" s="60"/>
      <c r="G276" s="46">
        <v>0</v>
      </c>
      <c r="H276" s="47">
        <v>0</v>
      </c>
    </row>
    <row r="277" spans="3:8">
      <c r="C277" s="39"/>
      <c r="D277" s="65"/>
      <c r="E277" s="39"/>
      <c r="F277" s="60"/>
      <c r="G277" s="46">
        <v>0</v>
      </c>
      <c r="H277" s="47">
        <v>0</v>
      </c>
    </row>
    <row r="278" spans="3:8">
      <c r="C278" s="39"/>
      <c r="D278" s="65"/>
      <c r="E278" s="39"/>
      <c r="F278" s="60"/>
      <c r="G278" s="46">
        <v>0</v>
      </c>
      <c r="H278" s="47">
        <v>0</v>
      </c>
    </row>
    <row r="279" spans="3:8">
      <c r="C279" s="39"/>
      <c r="D279" s="65"/>
      <c r="E279" s="39"/>
      <c r="F279" s="60"/>
      <c r="G279" s="46">
        <v>0</v>
      </c>
      <c r="H279" s="47">
        <v>0</v>
      </c>
    </row>
    <row r="280" spans="3:8">
      <c r="C280" s="39"/>
      <c r="D280" s="65"/>
      <c r="E280" s="39"/>
      <c r="F280" s="60"/>
      <c r="G280" s="46">
        <v>0</v>
      </c>
      <c r="H280" s="47">
        <v>0</v>
      </c>
    </row>
    <row r="281" spans="3:8">
      <c r="C281" s="39"/>
      <c r="D281" s="65"/>
      <c r="E281" s="39"/>
      <c r="F281" s="60"/>
      <c r="G281" s="46">
        <v>0</v>
      </c>
      <c r="H281" s="47">
        <v>0</v>
      </c>
    </row>
    <row r="282" spans="3:8">
      <c r="C282" s="39"/>
      <c r="D282" s="65"/>
      <c r="E282" s="39"/>
      <c r="F282" s="60"/>
      <c r="G282" s="46">
        <v>0</v>
      </c>
      <c r="H282" s="47">
        <v>0</v>
      </c>
    </row>
    <row r="283" spans="3:8">
      <c r="C283" s="39"/>
      <c r="D283" s="65"/>
      <c r="E283" s="39"/>
      <c r="F283" s="60"/>
      <c r="G283" s="46">
        <v>0</v>
      </c>
      <c r="H283" s="47">
        <v>0</v>
      </c>
    </row>
    <row r="284" spans="3:8">
      <c r="C284" s="43"/>
      <c r="D284" s="65"/>
      <c r="E284" s="39"/>
      <c r="F284" s="75"/>
      <c r="G284" s="46">
        <v>0</v>
      </c>
      <c r="H284" s="47">
        <v>0</v>
      </c>
    </row>
    <row r="285" spans="3:8">
      <c r="C285" s="43"/>
      <c r="D285" s="44"/>
      <c r="E285" s="39"/>
      <c r="F285" s="49"/>
      <c r="G285" s="46">
        <v>0</v>
      </c>
      <c r="H285" s="47">
        <v>0</v>
      </c>
    </row>
    <row r="286" spans="3:8">
      <c r="C286" s="39"/>
      <c r="D286" s="44"/>
      <c r="E286" s="39"/>
      <c r="F286" s="49"/>
      <c r="G286" s="47">
        <v>0</v>
      </c>
      <c r="H286" s="47">
        <v>0</v>
      </c>
    </row>
    <row r="287" spans="3:8">
      <c r="C287" s="43"/>
      <c r="D287" s="48"/>
      <c r="E287" s="39"/>
      <c r="F287" s="49"/>
      <c r="G287" s="50">
        <v>0</v>
      </c>
      <c r="H287" s="47">
        <v>0</v>
      </c>
    </row>
    <row r="288" spans="3:8">
      <c r="C288" s="51" t="s">
        <v>37</v>
      </c>
      <c r="D288" s="51"/>
      <c r="E288" s="51"/>
      <c r="F288" s="52"/>
      <c r="G288" s="51"/>
      <c r="H288" s="53">
        <v>1965.625</v>
      </c>
    </row>
    <row r="289" spans="3:8">
      <c r="C289" s="54" t="s">
        <v>38</v>
      </c>
      <c r="D289" s="55" t="s">
        <v>39</v>
      </c>
      <c r="E289" s="56"/>
      <c r="F289" s="57"/>
      <c r="G289" s="58"/>
      <c r="H289" s="58"/>
    </row>
    <row r="290" spans="3:8">
      <c r="C290" s="39"/>
      <c r="D290" s="76"/>
      <c r="E290" s="39"/>
      <c r="F290" s="40"/>
      <c r="G290" s="62">
        <v>0</v>
      </c>
      <c r="H290" s="61">
        <v>0</v>
      </c>
    </row>
    <row r="291" spans="3:8">
      <c r="C291" s="39"/>
      <c r="D291" s="76"/>
      <c r="E291" s="39"/>
      <c r="F291" s="40"/>
      <c r="G291" s="47">
        <v>0</v>
      </c>
      <c r="H291" s="61">
        <v>0</v>
      </c>
    </row>
    <row r="292" spans="3:8">
      <c r="C292" s="39"/>
      <c r="D292" s="76"/>
      <c r="E292" s="39"/>
      <c r="F292" s="40"/>
      <c r="G292" s="47">
        <v>0</v>
      </c>
      <c r="H292" s="61">
        <v>0</v>
      </c>
    </row>
    <row r="293" spans="3:8">
      <c r="C293" s="39"/>
      <c r="D293" s="76"/>
      <c r="E293" s="39"/>
      <c r="F293" s="40"/>
      <c r="G293" s="47">
        <v>0</v>
      </c>
      <c r="H293" s="61">
        <v>0</v>
      </c>
    </row>
    <row r="294" spans="3:8">
      <c r="C294" s="39"/>
      <c r="D294" s="76"/>
      <c r="E294" s="39"/>
      <c r="F294" s="40"/>
      <c r="G294" s="47">
        <v>0</v>
      </c>
      <c r="H294" s="61">
        <v>0</v>
      </c>
    </row>
    <row r="295" spans="3:8">
      <c r="C295" s="39"/>
      <c r="D295" s="76"/>
      <c r="E295" s="39"/>
      <c r="F295" s="40"/>
      <c r="G295" s="47">
        <v>0</v>
      </c>
      <c r="H295" s="61">
        <v>0</v>
      </c>
    </row>
    <row r="296" spans="3:8">
      <c r="C296" s="39"/>
      <c r="D296" s="76"/>
      <c r="E296" s="39"/>
      <c r="F296" s="49"/>
      <c r="G296" s="62">
        <v>0</v>
      </c>
      <c r="H296" s="61">
        <v>0</v>
      </c>
    </row>
    <row r="297" spans="3:8">
      <c r="C297" s="39"/>
      <c r="D297" s="44"/>
      <c r="E297" s="39"/>
      <c r="F297" s="49"/>
      <c r="G297" s="47">
        <v>0</v>
      </c>
      <c r="H297" s="61">
        <v>0</v>
      </c>
    </row>
    <row r="298" spans="3:8">
      <c r="C298" s="51" t="s">
        <v>40</v>
      </c>
      <c r="D298" s="51"/>
      <c r="E298" s="51"/>
      <c r="F298" s="52"/>
      <c r="G298" s="51"/>
      <c r="H298" s="53">
        <v>0</v>
      </c>
    </row>
    <row r="299" spans="3:8">
      <c r="C299" s="54" t="s">
        <v>41</v>
      </c>
      <c r="D299" s="55" t="s">
        <v>42</v>
      </c>
      <c r="E299" s="56"/>
      <c r="F299" s="63"/>
      <c r="G299" s="64"/>
      <c r="H299" s="64">
        <v>0</v>
      </c>
    </row>
    <row r="300" spans="3:8">
      <c r="C300" s="45"/>
      <c r="D300" s="65"/>
      <c r="E300" s="45"/>
      <c r="F300" s="40"/>
      <c r="G300" s="50">
        <v>0</v>
      </c>
      <c r="H300" s="50">
        <v>0</v>
      </c>
    </row>
    <row r="301" spans="3:8">
      <c r="C301" s="45"/>
      <c r="D301" s="65"/>
      <c r="E301" s="45"/>
      <c r="F301" s="40"/>
      <c r="G301" s="50">
        <v>0</v>
      </c>
      <c r="H301" s="50">
        <v>0</v>
      </c>
    </row>
    <row r="302" spans="3:8">
      <c r="C302" s="45"/>
      <c r="D302" s="65"/>
      <c r="E302" s="45"/>
      <c r="F302" s="40"/>
      <c r="G302" s="50">
        <v>0</v>
      </c>
      <c r="H302" s="61">
        <v>0</v>
      </c>
    </row>
    <row r="303" spans="3:8">
      <c r="C303" s="45"/>
      <c r="D303" s="65"/>
      <c r="E303" s="45"/>
      <c r="F303" s="40"/>
      <c r="G303" s="50">
        <v>0</v>
      </c>
      <c r="H303" s="61">
        <v>0</v>
      </c>
    </row>
    <row r="304" spans="3:8">
      <c r="C304" s="45"/>
      <c r="D304" s="65"/>
      <c r="E304" s="45"/>
      <c r="F304" s="40"/>
      <c r="G304" s="50">
        <v>0</v>
      </c>
      <c r="H304" s="61">
        <v>0</v>
      </c>
    </row>
    <row r="305" spans="3:8">
      <c r="C305" s="45"/>
      <c r="D305" s="65"/>
      <c r="E305" s="45"/>
      <c r="F305" s="40"/>
      <c r="G305" s="50">
        <v>0</v>
      </c>
      <c r="H305" s="61">
        <v>0</v>
      </c>
    </row>
    <row r="306" spans="3:8">
      <c r="C306" s="39"/>
      <c r="D306" s="44"/>
      <c r="E306" s="39"/>
      <c r="F306" s="82"/>
      <c r="G306" s="83">
        <v>0</v>
      </c>
      <c r="H306" s="61">
        <v>0</v>
      </c>
    </row>
    <row r="307" spans="3:8">
      <c r="C307" s="51" t="s">
        <v>43</v>
      </c>
      <c r="D307" s="51"/>
      <c r="E307" s="51"/>
      <c r="F307" s="52"/>
      <c r="G307" s="51"/>
      <c r="H307" s="53">
        <v>0</v>
      </c>
    </row>
    <row r="308" spans="3:8" ht="15.75">
      <c r="C308" s="66" t="s">
        <v>44</v>
      </c>
      <c r="D308" s="67"/>
      <c r="E308" s="67"/>
      <c r="F308" s="68"/>
      <c r="G308" s="69"/>
      <c r="H308" s="53">
        <v>1965.625</v>
      </c>
    </row>
    <row r="309" spans="3:8" ht="15.75">
      <c r="C309" s="66" t="s">
        <v>45</v>
      </c>
      <c r="D309" s="67"/>
      <c r="E309" s="67"/>
      <c r="F309" s="68"/>
      <c r="G309" s="69"/>
      <c r="H309" s="70">
        <v>484.23453006421403</v>
      </c>
    </row>
    <row r="310" spans="3:8" ht="15.75">
      <c r="C310" s="66" t="s">
        <v>46</v>
      </c>
      <c r="D310" s="67"/>
      <c r="E310" s="67"/>
      <c r="F310" s="68"/>
      <c r="G310" s="69"/>
      <c r="H310" s="53">
        <v>2449.86</v>
      </c>
    </row>
    <row r="311" spans="3:8">
      <c r="C311" s="21"/>
      <c r="D311" s="21"/>
      <c r="E311" s="21"/>
      <c r="F311" s="21"/>
      <c r="G311" s="21"/>
      <c r="H311" s="21"/>
    </row>
    <row r="312" spans="3:8" ht="28.5" customHeight="1">
      <c r="C312" s="22" t="s">
        <v>23</v>
      </c>
      <c r="D312" s="23" t="s">
        <v>126</v>
      </c>
      <c r="E312" s="23"/>
      <c r="F312" s="24"/>
      <c r="G312" s="25"/>
      <c r="H312" s="26"/>
    </row>
    <row r="313" spans="3:8">
      <c r="C313" s="27" t="s">
        <v>25</v>
      </c>
      <c r="D313" s="28" t="s">
        <v>127</v>
      </c>
      <c r="E313" s="29"/>
      <c r="F313" s="30" t="s">
        <v>27</v>
      </c>
      <c r="G313" s="31" t="s">
        <v>128</v>
      </c>
      <c r="H313" s="32">
        <v>375.32</v>
      </c>
    </row>
    <row r="314" spans="3:8">
      <c r="C314" s="33" t="s">
        <v>29</v>
      </c>
      <c r="D314" s="33" t="s">
        <v>30</v>
      </c>
      <c r="E314" s="33" t="s">
        <v>31</v>
      </c>
      <c r="F314" s="34" t="s">
        <v>32</v>
      </c>
      <c r="G314" s="35" t="s">
        <v>33</v>
      </c>
      <c r="H314" s="35" t="s">
        <v>34</v>
      </c>
    </row>
    <row r="315" spans="3:8">
      <c r="C315" s="33"/>
      <c r="D315" s="33"/>
      <c r="E315" s="33"/>
      <c r="F315" s="34"/>
      <c r="G315" s="36"/>
      <c r="H315" s="36"/>
    </row>
    <row r="316" spans="3:8">
      <c r="C316" s="37" t="s">
        <v>35</v>
      </c>
      <c r="D316" s="38" t="s">
        <v>36</v>
      </c>
      <c r="E316" s="39"/>
      <c r="F316" s="40"/>
      <c r="G316" s="41"/>
      <c r="H316" s="42"/>
    </row>
    <row r="317" spans="3:8">
      <c r="C317" s="39" t="s">
        <v>129</v>
      </c>
      <c r="D317" s="71" t="s">
        <v>130</v>
      </c>
      <c r="E317" s="39" t="s">
        <v>131</v>
      </c>
      <c r="F317" s="60">
        <v>1.27330072073116</v>
      </c>
      <c r="G317" s="46">
        <v>65.776570193015701</v>
      </c>
      <c r="H317" s="47">
        <v>83.753354233990905</v>
      </c>
    </row>
    <row r="318" spans="3:8">
      <c r="C318" s="39" t="s">
        <v>129</v>
      </c>
      <c r="D318" s="65" t="s">
        <v>132</v>
      </c>
      <c r="E318" s="39" t="s">
        <v>131</v>
      </c>
      <c r="F318" s="60">
        <v>0.52634867525871198</v>
      </c>
      <c r="G318" s="46">
        <v>44.933633313323199</v>
      </c>
      <c r="H318" s="47">
        <v>23.650758369028399</v>
      </c>
    </row>
    <row r="319" spans="3:8">
      <c r="C319" s="43" t="s">
        <v>129</v>
      </c>
      <c r="D319" s="65" t="s">
        <v>133</v>
      </c>
      <c r="E319" s="39" t="s">
        <v>131</v>
      </c>
      <c r="F319" s="60">
        <v>0.165959859523406</v>
      </c>
      <c r="G319" s="46">
        <v>52.035429693461801</v>
      </c>
      <c r="H319" s="47">
        <v>8.6357926021669904</v>
      </c>
    </row>
    <row r="320" spans="3:8">
      <c r="C320" s="43" t="s">
        <v>134</v>
      </c>
      <c r="D320" s="65" t="s">
        <v>135</v>
      </c>
      <c r="E320" s="39" t="s">
        <v>131</v>
      </c>
      <c r="F320" s="60">
        <v>1</v>
      </c>
      <c r="G320" s="46">
        <v>57</v>
      </c>
      <c r="H320" s="47">
        <v>57</v>
      </c>
    </row>
    <row r="321" spans="3:8">
      <c r="C321" s="43"/>
      <c r="D321" s="48"/>
      <c r="E321" s="39"/>
      <c r="F321" s="102"/>
      <c r="G321" s="50">
        <v>0</v>
      </c>
      <c r="H321" s="47">
        <v>0</v>
      </c>
    </row>
    <row r="322" spans="3:8">
      <c r="C322" s="51" t="s">
        <v>37</v>
      </c>
      <c r="D322" s="51"/>
      <c r="E322" s="51"/>
      <c r="F322" s="103"/>
      <c r="G322" s="51"/>
      <c r="H322" s="53">
        <v>173.03990520518599</v>
      </c>
    </row>
    <row r="323" spans="3:8">
      <c r="C323" s="54" t="s">
        <v>38</v>
      </c>
      <c r="D323" s="55" t="s">
        <v>39</v>
      </c>
      <c r="E323" s="56"/>
      <c r="F323" s="104"/>
      <c r="G323" s="58"/>
      <c r="H323" s="58"/>
    </row>
    <row r="324" spans="3:8">
      <c r="C324" s="39" t="s">
        <v>53</v>
      </c>
      <c r="D324" s="76" t="s">
        <v>136</v>
      </c>
      <c r="E324" s="39" t="s">
        <v>28</v>
      </c>
      <c r="F324" s="105">
        <v>0.48749999999999999</v>
      </c>
      <c r="G324" s="47">
        <v>17.3039905205186</v>
      </c>
      <c r="H324" s="61">
        <v>8.4356953787528308</v>
      </c>
    </row>
    <row r="325" spans="3:8">
      <c r="C325" s="39" t="s">
        <v>53</v>
      </c>
      <c r="D325" s="76" t="s">
        <v>137</v>
      </c>
      <c r="E325" s="39" t="s">
        <v>51</v>
      </c>
      <c r="F325" s="60">
        <v>0.17599999999999999</v>
      </c>
      <c r="G325" s="47">
        <v>320.00142699402699</v>
      </c>
      <c r="H325" s="61">
        <v>56.320251150948799</v>
      </c>
    </row>
    <row r="326" spans="3:8">
      <c r="C326" s="39" t="s">
        <v>53</v>
      </c>
      <c r="D326" s="76" t="s">
        <v>136</v>
      </c>
      <c r="E326" s="39" t="s">
        <v>28</v>
      </c>
      <c r="F326" s="105">
        <v>0.48749999999999999</v>
      </c>
      <c r="G326" s="47">
        <v>8.6519952602593193</v>
      </c>
      <c r="H326" s="61">
        <v>4.2178476893764199</v>
      </c>
    </row>
    <row r="327" spans="3:8">
      <c r="C327" s="39" t="s">
        <v>53</v>
      </c>
      <c r="D327" s="76" t="s">
        <v>138</v>
      </c>
      <c r="E327" s="39" t="s">
        <v>51</v>
      </c>
      <c r="F327" s="106">
        <v>8.7999999999999995E-2</v>
      </c>
      <c r="G327" s="47">
        <v>429.21354820614903</v>
      </c>
      <c r="H327" s="61">
        <v>37.770792242141098</v>
      </c>
    </row>
    <row r="328" spans="3:8">
      <c r="C328" s="39"/>
      <c r="D328" s="76"/>
      <c r="E328" s="39"/>
      <c r="F328" s="106"/>
      <c r="G328" s="47">
        <v>0</v>
      </c>
      <c r="H328" s="61">
        <v>0</v>
      </c>
    </row>
    <row r="329" spans="3:8">
      <c r="C329" s="39"/>
      <c r="D329" s="76"/>
      <c r="E329" s="39"/>
      <c r="F329" s="106"/>
      <c r="G329" s="47">
        <v>0</v>
      </c>
      <c r="H329" s="61">
        <v>0</v>
      </c>
    </row>
    <row r="330" spans="3:8">
      <c r="C330" s="39"/>
      <c r="D330" s="76"/>
      <c r="E330" s="39"/>
      <c r="F330" s="102"/>
      <c r="G330" s="62">
        <v>0</v>
      </c>
      <c r="H330" s="61">
        <v>0</v>
      </c>
    </row>
    <row r="331" spans="3:8">
      <c r="C331" s="39"/>
      <c r="D331" s="44"/>
      <c r="E331" s="39"/>
      <c r="F331" s="102"/>
      <c r="G331" s="47">
        <v>0</v>
      </c>
      <c r="H331" s="61">
        <v>0</v>
      </c>
    </row>
    <row r="332" spans="3:8">
      <c r="C332" s="51" t="s">
        <v>40</v>
      </c>
      <c r="D332" s="51"/>
      <c r="E332" s="51"/>
      <c r="F332" s="103"/>
      <c r="G332" s="51"/>
      <c r="H332" s="53">
        <v>106.744586461219</v>
      </c>
    </row>
    <row r="333" spans="3:8">
      <c r="C333" s="54" t="s">
        <v>41</v>
      </c>
      <c r="D333" s="55" t="s">
        <v>42</v>
      </c>
      <c r="E333" s="56"/>
      <c r="F333" s="107"/>
      <c r="G333" s="64"/>
      <c r="H333" s="64">
        <v>0</v>
      </c>
    </row>
    <row r="334" spans="3:8">
      <c r="C334" s="45" t="s">
        <v>77</v>
      </c>
      <c r="D334" s="65" t="s">
        <v>139</v>
      </c>
      <c r="E334" s="45" t="s">
        <v>28</v>
      </c>
      <c r="F334" s="106">
        <v>1</v>
      </c>
      <c r="G334" s="47">
        <v>21.348917292243801</v>
      </c>
      <c r="H334" s="50">
        <v>21.348917292243801</v>
      </c>
    </row>
    <row r="335" spans="3:8">
      <c r="C335" s="45"/>
      <c r="D335" s="65"/>
      <c r="E335" s="45"/>
      <c r="F335" s="40"/>
      <c r="G335" s="50">
        <v>0</v>
      </c>
      <c r="H335" s="50">
        <v>0</v>
      </c>
    </row>
    <row r="336" spans="3:8">
      <c r="C336" s="45"/>
      <c r="D336" s="65"/>
      <c r="E336" s="45"/>
      <c r="F336" s="40"/>
      <c r="G336" s="50">
        <v>0</v>
      </c>
      <c r="H336" s="61">
        <v>0</v>
      </c>
    </row>
    <row r="337" spans="3:8">
      <c r="C337" s="45"/>
      <c r="D337" s="65"/>
      <c r="E337" s="45"/>
      <c r="F337" s="40"/>
      <c r="G337" s="50">
        <v>0</v>
      </c>
      <c r="H337" s="61">
        <v>0</v>
      </c>
    </row>
    <row r="338" spans="3:8">
      <c r="C338" s="45"/>
      <c r="D338" s="65"/>
      <c r="E338" s="45"/>
      <c r="F338" s="40"/>
      <c r="G338" s="50">
        <v>0</v>
      </c>
      <c r="H338" s="61">
        <v>0</v>
      </c>
    </row>
    <row r="339" spans="3:8">
      <c r="C339" s="45"/>
      <c r="D339" s="65"/>
      <c r="E339" s="45"/>
      <c r="F339" s="40"/>
      <c r="G339" s="50">
        <v>0</v>
      </c>
      <c r="H339" s="61">
        <v>0</v>
      </c>
    </row>
    <row r="340" spans="3:8">
      <c r="C340" s="39"/>
      <c r="D340" s="44"/>
      <c r="E340" s="39"/>
      <c r="F340" s="82"/>
      <c r="G340" s="83">
        <v>0</v>
      </c>
      <c r="H340" s="61">
        <v>0</v>
      </c>
    </row>
    <row r="341" spans="3:8">
      <c r="C341" s="51" t="s">
        <v>43</v>
      </c>
      <c r="D341" s="51"/>
      <c r="E341" s="51"/>
      <c r="F341" s="52"/>
      <c r="G341" s="51"/>
      <c r="H341" s="53">
        <v>21.348917292243801</v>
      </c>
    </row>
    <row r="342" spans="3:8" ht="15.75">
      <c r="C342" s="66" t="s">
        <v>44</v>
      </c>
      <c r="D342" s="67"/>
      <c r="E342" s="67"/>
      <c r="F342" s="68"/>
      <c r="G342" s="69"/>
      <c r="H342" s="53">
        <v>301.133408958649</v>
      </c>
    </row>
    <row r="343" spans="3:8" ht="15.75">
      <c r="C343" s="66" t="s">
        <v>45</v>
      </c>
      <c r="D343" s="67"/>
      <c r="E343" s="67"/>
      <c r="F343" s="68"/>
      <c r="G343" s="69"/>
      <c r="H343" s="70">
        <v>74.184645989813106</v>
      </c>
    </row>
    <row r="344" spans="3:8" ht="15.75">
      <c r="C344" s="66" t="s">
        <v>46</v>
      </c>
      <c r="D344" s="67"/>
      <c r="E344" s="67"/>
      <c r="F344" s="68"/>
      <c r="G344" s="69"/>
      <c r="H344" s="53">
        <v>375.32</v>
      </c>
    </row>
    <row r="345" spans="3:8">
      <c r="C345" s="21"/>
      <c r="D345" s="21"/>
      <c r="E345" s="21"/>
      <c r="F345" s="21"/>
      <c r="G345" s="21"/>
      <c r="H345" s="21"/>
    </row>
    <row r="346" spans="3:8" ht="39" customHeight="1">
      <c r="C346" s="22" t="s">
        <v>23</v>
      </c>
      <c r="D346" s="23" t="s">
        <v>140</v>
      </c>
      <c r="E346" s="23"/>
      <c r="F346" s="24"/>
      <c r="G346" s="25"/>
      <c r="H346" s="26"/>
    </row>
    <row r="347" spans="3:8">
      <c r="C347" s="27" t="s">
        <v>25</v>
      </c>
      <c r="D347" s="28" t="s">
        <v>141</v>
      </c>
      <c r="E347" s="29"/>
      <c r="F347" s="30" t="s">
        <v>27</v>
      </c>
      <c r="G347" s="31" t="s">
        <v>128</v>
      </c>
      <c r="H347" s="32">
        <v>119.24</v>
      </c>
    </row>
    <row r="348" spans="3:8">
      <c r="C348" s="33" t="s">
        <v>29</v>
      </c>
      <c r="D348" s="33" t="s">
        <v>30</v>
      </c>
      <c r="E348" s="33" t="s">
        <v>31</v>
      </c>
      <c r="F348" s="34" t="s">
        <v>32</v>
      </c>
      <c r="G348" s="35" t="s">
        <v>33</v>
      </c>
      <c r="H348" s="35" t="s">
        <v>34</v>
      </c>
    </row>
    <row r="349" spans="3:8">
      <c r="C349" s="33"/>
      <c r="D349" s="33"/>
      <c r="E349" s="33"/>
      <c r="F349" s="34"/>
      <c r="G349" s="36"/>
      <c r="H349" s="36"/>
    </row>
    <row r="350" spans="3:8">
      <c r="C350" s="37" t="s">
        <v>35</v>
      </c>
      <c r="D350" s="38" t="s">
        <v>36</v>
      </c>
      <c r="E350" s="39"/>
      <c r="F350" s="40"/>
      <c r="G350" s="41"/>
      <c r="H350" s="42"/>
    </row>
    <row r="351" spans="3:8">
      <c r="C351" s="39" t="s">
        <v>129</v>
      </c>
      <c r="D351" s="76" t="s">
        <v>133</v>
      </c>
      <c r="E351" s="39" t="s">
        <v>51</v>
      </c>
      <c r="F351" s="40">
        <v>1.0372491220212801</v>
      </c>
      <c r="G351" s="46">
        <v>52.035429693461801</v>
      </c>
      <c r="H351" s="47">
        <v>53.973703763543298</v>
      </c>
    </row>
    <row r="352" spans="3:8">
      <c r="C352" s="39"/>
      <c r="D352" s="76"/>
      <c r="E352" s="39"/>
      <c r="F352" s="40"/>
      <c r="G352" s="46"/>
      <c r="H352" s="47"/>
    </row>
    <row r="353" spans="3:8">
      <c r="C353" s="39"/>
      <c r="D353" s="65"/>
      <c r="E353" s="39"/>
      <c r="F353" s="60"/>
      <c r="G353" s="46">
        <v>0</v>
      </c>
      <c r="H353" s="47">
        <v>0</v>
      </c>
    </row>
    <row r="354" spans="3:8">
      <c r="C354" s="39"/>
      <c r="D354" s="65"/>
      <c r="E354" s="39"/>
      <c r="F354" s="60"/>
      <c r="G354" s="46">
        <v>0</v>
      </c>
      <c r="H354" s="47">
        <v>0</v>
      </c>
    </row>
    <row r="355" spans="3:8">
      <c r="C355" s="39"/>
      <c r="D355" s="65"/>
      <c r="E355" s="39"/>
      <c r="F355" s="60"/>
      <c r="G355" s="46">
        <v>0</v>
      </c>
      <c r="H355" s="47">
        <v>0</v>
      </c>
    </row>
    <row r="356" spans="3:8">
      <c r="C356" s="39"/>
      <c r="D356" s="65"/>
      <c r="E356" s="39"/>
      <c r="F356" s="60"/>
      <c r="G356" s="46">
        <v>0</v>
      </c>
      <c r="H356" s="47">
        <v>0</v>
      </c>
    </row>
    <row r="357" spans="3:8">
      <c r="C357" s="39"/>
      <c r="D357" s="65"/>
      <c r="E357" s="39"/>
      <c r="F357" s="60"/>
      <c r="G357" s="46">
        <v>0</v>
      </c>
      <c r="H357" s="47">
        <v>0</v>
      </c>
    </row>
    <row r="358" spans="3:8">
      <c r="C358" s="39"/>
      <c r="D358" s="65"/>
      <c r="E358" s="39"/>
      <c r="F358" s="60"/>
      <c r="G358" s="46">
        <v>0</v>
      </c>
      <c r="H358" s="47">
        <v>0</v>
      </c>
    </row>
    <row r="359" spans="3:8">
      <c r="C359" s="39"/>
      <c r="D359" s="65"/>
      <c r="E359" s="39"/>
      <c r="F359" s="60"/>
      <c r="G359" s="46">
        <v>0</v>
      </c>
      <c r="H359" s="47">
        <v>0</v>
      </c>
    </row>
    <row r="360" spans="3:8">
      <c r="C360" s="39"/>
      <c r="D360" s="65"/>
      <c r="E360" s="39"/>
      <c r="F360" s="60"/>
      <c r="G360" s="46">
        <v>0</v>
      </c>
      <c r="H360" s="47">
        <v>0</v>
      </c>
    </row>
    <row r="361" spans="3:8">
      <c r="C361" s="39"/>
      <c r="D361" s="65"/>
      <c r="E361" s="39"/>
      <c r="F361" s="60"/>
      <c r="G361" s="46">
        <v>0</v>
      </c>
      <c r="H361" s="47">
        <v>0</v>
      </c>
    </row>
    <row r="362" spans="3:8">
      <c r="C362" s="43"/>
      <c r="D362" s="65"/>
      <c r="E362" s="39"/>
      <c r="F362" s="75"/>
      <c r="G362" s="46">
        <v>0</v>
      </c>
      <c r="H362" s="47">
        <v>0</v>
      </c>
    </row>
    <row r="363" spans="3:8">
      <c r="C363" s="43"/>
      <c r="D363" s="44"/>
      <c r="E363" s="39"/>
      <c r="F363" s="49"/>
      <c r="G363" s="46">
        <v>0</v>
      </c>
      <c r="H363" s="47">
        <v>0</v>
      </c>
    </row>
    <row r="364" spans="3:8">
      <c r="C364" s="39"/>
      <c r="D364" s="44"/>
      <c r="E364" s="39"/>
      <c r="F364" s="49"/>
      <c r="G364" s="47">
        <v>0</v>
      </c>
      <c r="H364" s="47">
        <v>0</v>
      </c>
    </row>
    <row r="365" spans="3:8">
      <c r="C365" s="43"/>
      <c r="D365" s="48"/>
      <c r="E365" s="39"/>
      <c r="F365" s="49"/>
      <c r="G365" s="50">
        <v>0</v>
      </c>
      <c r="H365" s="47">
        <v>0</v>
      </c>
    </row>
    <row r="366" spans="3:8">
      <c r="C366" s="51" t="s">
        <v>37</v>
      </c>
      <c r="D366" s="51"/>
      <c r="E366" s="51"/>
      <c r="F366" s="52"/>
      <c r="G366" s="51"/>
      <c r="H366" s="53">
        <v>53.973703763543298</v>
      </c>
    </row>
    <row r="367" spans="3:8">
      <c r="C367" s="54" t="s">
        <v>38</v>
      </c>
      <c r="D367" s="55" t="s">
        <v>39</v>
      </c>
      <c r="E367" s="56"/>
      <c r="F367" s="57"/>
      <c r="G367" s="58"/>
      <c r="H367" s="58"/>
    </row>
    <row r="368" spans="3:8">
      <c r="C368" s="39" t="s">
        <v>53</v>
      </c>
      <c r="D368" s="76" t="s">
        <v>142</v>
      </c>
      <c r="E368" s="39" t="s">
        <v>51</v>
      </c>
      <c r="F368" s="40">
        <v>0.17823070495465601</v>
      </c>
      <c r="G368" s="47">
        <v>133.24472168674399</v>
      </c>
      <c r="H368" s="61">
        <v>23.7483006777152</v>
      </c>
    </row>
    <row r="369" spans="3:8">
      <c r="C369" s="39" t="s">
        <v>53</v>
      </c>
      <c r="D369" s="76" t="s">
        <v>143</v>
      </c>
      <c r="E369" s="39" t="s">
        <v>51</v>
      </c>
      <c r="F369" s="40">
        <v>6.7224063788793503E-2</v>
      </c>
      <c r="G369" s="47">
        <v>266.97112396372398</v>
      </c>
      <c r="H369" s="61">
        <v>17.946883867103299</v>
      </c>
    </row>
    <row r="370" spans="3:8">
      <c r="C370" s="39"/>
      <c r="D370" s="76"/>
      <c r="E370" s="39"/>
      <c r="F370" s="40"/>
      <c r="G370" s="47">
        <v>0</v>
      </c>
      <c r="H370" s="61">
        <v>0</v>
      </c>
    </row>
    <row r="371" spans="3:8">
      <c r="C371" s="39"/>
      <c r="D371" s="76"/>
      <c r="E371" s="39"/>
      <c r="F371" s="40"/>
      <c r="G371" s="47">
        <v>0</v>
      </c>
      <c r="H371" s="61">
        <v>0</v>
      </c>
    </row>
    <row r="372" spans="3:8">
      <c r="C372" s="39"/>
      <c r="D372" s="76"/>
      <c r="E372" s="39"/>
      <c r="F372" s="40"/>
      <c r="G372" s="47">
        <v>0</v>
      </c>
      <c r="H372" s="61">
        <v>0</v>
      </c>
    </row>
    <row r="373" spans="3:8">
      <c r="C373" s="39"/>
      <c r="D373" s="76"/>
      <c r="E373" s="39"/>
      <c r="F373" s="40"/>
      <c r="G373" s="47">
        <v>0</v>
      </c>
      <c r="H373" s="61">
        <v>0</v>
      </c>
    </row>
    <row r="374" spans="3:8">
      <c r="C374" s="39"/>
      <c r="D374" s="76"/>
      <c r="E374" s="39"/>
      <c r="F374" s="49"/>
      <c r="G374" s="62">
        <v>0</v>
      </c>
      <c r="H374" s="61">
        <v>0</v>
      </c>
    </row>
    <row r="375" spans="3:8">
      <c r="C375" s="39"/>
      <c r="D375" s="44"/>
      <c r="E375" s="39"/>
      <c r="F375" s="49"/>
      <c r="G375" s="47">
        <v>0</v>
      </c>
      <c r="H375" s="61">
        <v>0</v>
      </c>
    </row>
    <row r="376" spans="3:8">
      <c r="C376" s="51" t="s">
        <v>40</v>
      </c>
      <c r="D376" s="51"/>
      <c r="E376" s="51"/>
      <c r="F376" s="52"/>
      <c r="G376" s="51"/>
      <c r="H376" s="53">
        <v>41.695184544818503</v>
      </c>
    </row>
    <row r="377" spans="3:8">
      <c r="C377" s="54" t="s">
        <v>41</v>
      </c>
      <c r="D377" s="55" t="s">
        <v>42</v>
      </c>
      <c r="E377" s="56"/>
      <c r="F377" s="63"/>
      <c r="G377" s="64"/>
      <c r="H377" s="64">
        <v>0</v>
      </c>
    </row>
    <row r="378" spans="3:8">
      <c r="C378" s="39"/>
      <c r="D378" s="59"/>
      <c r="E378" s="39"/>
      <c r="F378" s="60"/>
      <c r="G378" s="46">
        <v>0</v>
      </c>
      <c r="H378" s="47">
        <v>0</v>
      </c>
    </row>
    <row r="379" spans="3:8">
      <c r="C379" s="45"/>
      <c r="D379" s="65"/>
      <c r="E379" s="45"/>
      <c r="F379" s="40"/>
      <c r="G379" s="50">
        <v>0</v>
      </c>
      <c r="H379" s="50">
        <v>0</v>
      </c>
    </row>
    <row r="380" spans="3:8">
      <c r="C380" s="45"/>
      <c r="D380" s="65"/>
      <c r="E380" s="45"/>
      <c r="F380" s="40"/>
      <c r="G380" s="50">
        <v>0</v>
      </c>
      <c r="H380" s="61">
        <v>0</v>
      </c>
    </row>
    <row r="381" spans="3:8">
      <c r="C381" s="45"/>
      <c r="D381" s="65"/>
      <c r="E381" s="45"/>
      <c r="F381" s="40"/>
      <c r="G381" s="50">
        <v>0</v>
      </c>
      <c r="H381" s="61">
        <v>0</v>
      </c>
    </row>
    <row r="382" spans="3:8">
      <c r="C382" s="45"/>
      <c r="D382" s="65"/>
      <c r="E382" s="45"/>
      <c r="F382" s="40"/>
      <c r="G382" s="50">
        <v>0</v>
      </c>
      <c r="H382" s="61">
        <v>0</v>
      </c>
    </row>
    <row r="383" spans="3:8">
      <c r="C383" s="45"/>
      <c r="D383" s="65"/>
      <c r="E383" s="45"/>
      <c r="F383" s="40"/>
      <c r="G383" s="50">
        <v>0</v>
      </c>
      <c r="H383" s="61">
        <v>0</v>
      </c>
    </row>
    <row r="384" spans="3:8">
      <c r="C384" s="39"/>
      <c r="D384" s="44"/>
      <c r="E384" s="39"/>
      <c r="F384" s="82"/>
      <c r="G384" s="83">
        <v>0</v>
      </c>
      <c r="H384" s="61">
        <v>0</v>
      </c>
    </row>
    <row r="385" spans="3:8">
      <c r="C385" s="51" t="s">
        <v>43</v>
      </c>
      <c r="D385" s="51"/>
      <c r="E385" s="51"/>
      <c r="F385" s="52"/>
      <c r="G385" s="51"/>
      <c r="H385" s="53">
        <v>0</v>
      </c>
    </row>
    <row r="386" spans="3:8" ht="15.75">
      <c r="C386" s="66" t="s">
        <v>44</v>
      </c>
      <c r="D386" s="67"/>
      <c r="E386" s="67"/>
      <c r="F386" s="68"/>
      <c r="G386" s="69"/>
      <c r="H386" s="53">
        <v>95.668888308361801</v>
      </c>
    </row>
    <row r="387" spans="3:8" ht="15.75">
      <c r="C387" s="66" t="s">
        <v>45</v>
      </c>
      <c r="D387" s="67"/>
      <c r="E387" s="67"/>
      <c r="F387" s="68"/>
      <c r="G387" s="69"/>
      <c r="H387" s="70">
        <v>23.5681674641732</v>
      </c>
    </row>
    <row r="388" spans="3:8" ht="15.75">
      <c r="C388" s="66" t="s">
        <v>46</v>
      </c>
      <c r="D388" s="67"/>
      <c r="E388" s="67"/>
      <c r="F388" s="68"/>
      <c r="G388" s="69"/>
      <c r="H388" s="53">
        <v>119.24</v>
      </c>
    </row>
    <row r="389" spans="3:8">
      <c r="C389" s="21"/>
      <c r="D389" s="21"/>
      <c r="E389" s="21"/>
      <c r="F389" s="21"/>
      <c r="G389" s="21"/>
      <c r="H389" s="21"/>
    </row>
    <row r="390" spans="3:8" ht="30">
      <c r="C390" s="22" t="s">
        <v>23</v>
      </c>
      <c r="D390" s="23" t="s">
        <v>144</v>
      </c>
      <c r="E390" s="23"/>
      <c r="F390" s="24"/>
      <c r="G390" s="25"/>
      <c r="H390" s="26"/>
    </row>
    <row r="391" spans="3:8">
      <c r="C391" s="27" t="s">
        <v>25</v>
      </c>
      <c r="D391" s="28" t="s">
        <v>145</v>
      </c>
      <c r="E391" s="29"/>
      <c r="F391" s="30" t="s">
        <v>27</v>
      </c>
      <c r="G391" s="31" t="s">
        <v>146</v>
      </c>
      <c r="H391" s="32">
        <v>8.7100000000000009</v>
      </c>
    </row>
    <row r="392" spans="3:8">
      <c r="C392" s="33" t="s">
        <v>29</v>
      </c>
      <c r="D392" s="33" t="s">
        <v>30</v>
      </c>
      <c r="E392" s="33" t="s">
        <v>31</v>
      </c>
      <c r="F392" s="34" t="s">
        <v>32</v>
      </c>
      <c r="G392" s="35" t="s">
        <v>33</v>
      </c>
      <c r="H392" s="35" t="s">
        <v>34</v>
      </c>
    </row>
    <row r="393" spans="3:8">
      <c r="C393" s="33"/>
      <c r="D393" s="33"/>
      <c r="E393" s="33"/>
      <c r="F393" s="34"/>
      <c r="G393" s="36"/>
      <c r="H393" s="36"/>
    </row>
    <row r="394" spans="3:8">
      <c r="C394" s="37" t="s">
        <v>35</v>
      </c>
      <c r="D394" s="38" t="s">
        <v>36</v>
      </c>
      <c r="E394" s="39"/>
      <c r="F394" s="40"/>
      <c r="G394" s="41"/>
      <c r="H394" s="42"/>
    </row>
    <row r="395" spans="3:8">
      <c r="C395" s="39"/>
      <c r="D395" s="76"/>
      <c r="E395" s="39"/>
      <c r="F395" s="40"/>
      <c r="G395" s="47"/>
      <c r="H395" s="61"/>
    </row>
    <row r="396" spans="3:8">
      <c r="C396" s="39"/>
      <c r="D396" s="65"/>
      <c r="E396" s="45"/>
      <c r="F396" s="60"/>
      <c r="G396" s="46"/>
      <c r="H396" s="47"/>
    </row>
    <row r="397" spans="3:8">
      <c r="C397" s="39"/>
      <c r="D397" s="65"/>
      <c r="E397" s="39"/>
      <c r="F397" s="60"/>
      <c r="G397" s="46">
        <v>0</v>
      </c>
      <c r="H397" s="47">
        <v>0</v>
      </c>
    </row>
    <row r="398" spans="3:8">
      <c r="C398" s="39"/>
      <c r="D398" s="65"/>
      <c r="E398" s="39"/>
      <c r="F398" s="60"/>
      <c r="G398" s="46">
        <v>0</v>
      </c>
      <c r="H398" s="47">
        <v>0</v>
      </c>
    </row>
    <row r="399" spans="3:8">
      <c r="C399" s="39"/>
      <c r="D399" s="65"/>
      <c r="E399" s="39"/>
      <c r="F399" s="60"/>
      <c r="G399" s="46">
        <v>0</v>
      </c>
      <c r="H399" s="47">
        <v>0</v>
      </c>
    </row>
    <row r="400" spans="3:8">
      <c r="C400" s="39"/>
      <c r="D400" s="65"/>
      <c r="E400" s="39"/>
      <c r="F400" s="60"/>
      <c r="G400" s="46">
        <v>0</v>
      </c>
      <c r="H400" s="47">
        <v>0</v>
      </c>
    </row>
    <row r="401" spans="3:8">
      <c r="C401" s="39"/>
      <c r="D401" s="65"/>
      <c r="E401" s="39"/>
      <c r="F401" s="60"/>
      <c r="G401" s="46">
        <v>0</v>
      </c>
      <c r="H401" s="47">
        <v>0</v>
      </c>
    </row>
    <row r="402" spans="3:8">
      <c r="C402" s="39"/>
      <c r="D402" s="65"/>
      <c r="E402" s="39"/>
      <c r="F402" s="60"/>
      <c r="G402" s="46">
        <v>0</v>
      </c>
      <c r="H402" s="47">
        <v>0</v>
      </c>
    </row>
    <row r="403" spans="3:8">
      <c r="C403" s="39"/>
      <c r="D403" s="65"/>
      <c r="E403" s="39"/>
      <c r="F403" s="60"/>
      <c r="G403" s="46">
        <v>0</v>
      </c>
      <c r="H403" s="47">
        <v>0</v>
      </c>
    </row>
    <row r="404" spans="3:8">
      <c r="C404" s="39"/>
      <c r="D404" s="65"/>
      <c r="E404" s="39"/>
      <c r="F404" s="60"/>
      <c r="G404" s="46">
        <v>0</v>
      </c>
      <c r="H404" s="47">
        <v>0</v>
      </c>
    </row>
    <row r="405" spans="3:8">
      <c r="C405" s="39"/>
      <c r="D405" s="65"/>
      <c r="E405" s="39"/>
      <c r="F405" s="60"/>
      <c r="G405" s="46">
        <v>0</v>
      </c>
      <c r="H405" s="47">
        <v>0</v>
      </c>
    </row>
    <row r="406" spans="3:8">
      <c r="C406" s="39"/>
      <c r="D406" s="65"/>
      <c r="E406" s="39"/>
      <c r="F406" s="60"/>
      <c r="G406" s="46">
        <v>0</v>
      </c>
      <c r="H406" s="47">
        <v>0</v>
      </c>
    </row>
    <row r="407" spans="3:8">
      <c r="C407" s="43"/>
      <c r="D407" s="65"/>
      <c r="E407" s="39"/>
      <c r="F407" s="75"/>
      <c r="G407" s="46">
        <v>0</v>
      </c>
      <c r="H407" s="47">
        <v>0</v>
      </c>
    </row>
    <row r="408" spans="3:8">
      <c r="C408" s="43"/>
      <c r="D408" s="44"/>
      <c r="E408" s="39"/>
      <c r="F408" s="49"/>
      <c r="G408" s="46">
        <v>0</v>
      </c>
      <c r="H408" s="47">
        <v>0</v>
      </c>
    </row>
    <row r="409" spans="3:8">
      <c r="C409" s="39"/>
      <c r="D409" s="44"/>
      <c r="E409" s="39"/>
      <c r="F409" s="49"/>
      <c r="G409" s="47">
        <v>0</v>
      </c>
      <c r="H409" s="47">
        <v>0</v>
      </c>
    </row>
    <row r="410" spans="3:8">
      <c r="C410" s="43"/>
      <c r="D410" s="48"/>
      <c r="E410" s="39"/>
      <c r="F410" s="49"/>
      <c r="G410" s="50">
        <v>0</v>
      </c>
      <c r="H410" s="47">
        <v>0</v>
      </c>
    </row>
    <row r="411" spans="3:8">
      <c r="C411" s="51" t="s">
        <v>37</v>
      </c>
      <c r="D411" s="51"/>
      <c r="E411" s="51"/>
      <c r="F411" s="52"/>
      <c r="G411" s="51"/>
      <c r="H411" s="53">
        <v>0</v>
      </c>
    </row>
    <row r="412" spans="3:8">
      <c r="C412" s="54" t="s">
        <v>38</v>
      </c>
      <c r="D412" s="55" t="s">
        <v>39</v>
      </c>
      <c r="E412" s="56"/>
      <c r="F412" s="57"/>
      <c r="G412" s="58"/>
      <c r="H412" s="58"/>
    </row>
    <row r="413" spans="3:8">
      <c r="C413" s="39" t="s">
        <v>53</v>
      </c>
      <c r="D413" s="76" t="s">
        <v>142</v>
      </c>
      <c r="E413" s="39" t="s">
        <v>51</v>
      </c>
      <c r="F413" s="40">
        <v>5.2467310272138697E-2</v>
      </c>
      <c r="G413" s="47">
        <v>133.24472168674399</v>
      </c>
      <c r="H413" s="61">
        <v>6.9909921548631502</v>
      </c>
    </row>
    <row r="414" spans="3:8">
      <c r="C414" s="39"/>
      <c r="D414" s="76"/>
      <c r="E414" s="39"/>
      <c r="F414" s="40"/>
      <c r="G414" s="47">
        <v>0</v>
      </c>
      <c r="H414" s="61">
        <v>0</v>
      </c>
    </row>
    <row r="415" spans="3:8">
      <c r="C415" s="39"/>
      <c r="D415" s="76"/>
      <c r="E415" s="39"/>
      <c r="F415" s="40"/>
      <c r="G415" s="47">
        <v>0</v>
      </c>
      <c r="H415" s="61">
        <v>0</v>
      </c>
    </row>
    <row r="416" spans="3:8">
      <c r="C416" s="39"/>
      <c r="D416" s="76"/>
      <c r="E416" s="39"/>
      <c r="F416" s="40"/>
      <c r="G416" s="47">
        <v>0</v>
      </c>
      <c r="H416" s="61">
        <v>0</v>
      </c>
    </row>
    <row r="417" spans="3:8">
      <c r="C417" s="39"/>
      <c r="D417" s="76"/>
      <c r="E417" s="39"/>
      <c r="F417" s="40"/>
      <c r="G417" s="47">
        <v>0</v>
      </c>
      <c r="H417" s="61">
        <v>0</v>
      </c>
    </row>
    <row r="418" spans="3:8">
      <c r="C418" s="39"/>
      <c r="D418" s="76"/>
      <c r="E418" s="39"/>
      <c r="F418" s="40"/>
      <c r="G418" s="47">
        <v>0</v>
      </c>
      <c r="H418" s="61">
        <v>0</v>
      </c>
    </row>
    <row r="419" spans="3:8">
      <c r="C419" s="39"/>
      <c r="D419" s="76"/>
      <c r="E419" s="39"/>
      <c r="F419" s="49"/>
      <c r="G419" s="62">
        <v>0</v>
      </c>
      <c r="H419" s="61">
        <v>0</v>
      </c>
    </row>
    <row r="420" spans="3:8">
      <c r="C420" s="39"/>
      <c r="D420" s="44"/>
      <c r="E420" s="39"/>
      <c r="F420" s="49"/>
      <c r="G420" s="47">
        <v>0</v>
      </c>
      <c r="H420" s="61">
        <v>0</v>
      </c>
    </row>
    <row r="421" spans="3:8">
      <c r="C421" s="51" t="s">
        <v>40</v>
      </c>
      <c r="D421" s="51"/>
      <c r="E421" s="51"/>
      <c r="F421" s="52"/>
      <c r="G421" s="51"/>
      <c r="H421" s="53">
        <v>6.9909921548631502</v>
      </c>
    </row>
    <row r="422" spans="3:8">
      <c r="C422" s="54" t="s">
        <v>41</v>
      </c>
      <c r="D422" s="55" t="s">
        <v>42</v>
      </c>
      <c r="E422" s="56"/>
      <c r="F422" s="63"/>
      <c r="G422" s="64"/>
      <c r="H422" s="64">
        <v>0</v>
      </c>
    </row>
    <row r="423" spans="3:8">
      <c r="C423" s="39"/>
      <c r="D423" s="59"/>
      <c r="E423" s="39"/>
      <c r="F423" s="40"/>
      <c r="G423" s="50">
        <v>0</v>
      </c>
      <c r="H423" s="50">
        <v>0</v>
      </c>
    </row>
    <row r="424" spans="3:8">
      <c r="C424" s="45"/>
      <c r="D424" s="65"/>
      <c r="E424" s="45"/>
      <c r="F424" s="40"/>
      <c r="G424" s="50">
        <v>0</v>
      </c>
      <c r="H424" s="50">
        <v>0</v>
      </c>
    </row>
    <row r="425" spans="3:8">
      <c r="C425" s="45"/>
      <c r="D425" s="65"/>
      <c r="E425" s="45"/>
      <c r="F425" s="40"/>
      <c r="G425" s="50">
        <v>0</v>
      </c>
      <c r="H425" s="61">
        <v>0</v>
      </c>
    </row>
    <row r="426" spans="3:8">
      <c r="C426" s="45"/>
      <c r="D426" s="65"/>
      <c r="E426" s="45"/>
      <c r="F426" s="40"/>
      <c r="G426" s="50">
        <v>0</v>
      </c>
      <c r="H426" s="61">
        <v>0</v>
      </c>
    </row>
    <row r="427" spans="3:8">
      <c r="C427" s="45"/>
      <c r="D427" s="65"/>
      <c r="E427" s="45"/>
      <c r="F427" s="40"/>
      <c r="G427" s="50">
        <v>0</v>
      </c>
      <c r="H427" s="61">
        <v>0</v>
      </c>
    </row>
    <row r="428" spans="3:8">
      <c r="C428" s="45"/>
      <c r="D428" s="65"/>
      <c r="E428" s="45"/>
      <c r="F428" s="40"/>
      <c r="G428" s="50">
        <v>0</v>
      </c>
      <c r="H428" s="61">
        <v>0</v>
      </c>
    </row>
    <row r="429" spans="3:8">
      <c r="C429" s="39"/>
      <c r="D429" s="44"/>
      <c r="E429" s="39"/>
      <c r="F429" s="82"/>
      <c r="G429" s="83">
        <v>0</v>
      </c>
      <c r="H429" s="61">
        <v>0</v>
      </c>
    </row>
    <row r="430" spans="3:8">
      <c r="C430" s="51" t="s">
        <v>43</v>
      </c>
      <c r="D430" s="51"/>
      <c r="E430" s="51"/>
      <c r="F430" s="52"/>
      <c r="G430" s="51"/>
      <c r="H430" s="53">
        <v>0</v>
      </c>
    </row>
    <row r="431" spans="3:8" ht="15.75">
      <c r="C431" s="66" t="s">
        <v>44</v>
      </c>
      <c r="D431" s="67"/>
      <c r="E431" s="67"/>
      <c r="F431" s="68"/>
      <c r="G431" s="69"/>
      <c r="H431" s="53">
        <v>6.9909921548631502</v>
      </c>
    </row>
    <row r="432" spans="3:8" ht="15.75">
      <c r="C432" s="66" t="s">
        <v>45</v>
      </c>
      <c r="D432" s="67"/>
      <c r="E432" s="67"/>
      <c r="F432" s="68"/>
      <c r="G432" s="69"/>
      <c r="H432" s="70">
        <v>1.72224091614258</v>
      </c>
    </row>
    <row r="433" spans="3:8" ht="15.75">
      <c r="C433" s="66" t="s">
        <v>46</v>
      </c>
      <c r="D433" s="67"/>
      <c r="E433" s="67"/>
      <c r="F433" s="68"/>
      <c r="G433" s="69"/>
      <c r="H433" s="53">
        <v>8.7100000000000009</v>
      </c>
    </row>
    <row r="434" spans="3:8">
      <c r="C434" s="21"/>
      <c r="D434" s="21"/>
      <c r="E434" s="21"/>
      <c r="F434" s="21"/>
      <c r="G434" s="21"/>
      <c r="H434" s="21"/>
    </row>
    <row r="435" spans="3:8" ht="21" customHeight="1">
      <c r="C435" s="22" t="s">
        <v>23</v>
      </c>
      <c r="D435" s="23" t="s">
        <v>147</v>
      </c>
      <c r="E435" s="23"/>
      <c r="F435" s="24"/>
      <c r="G435" s="25"/>
      <c r="H435" s="26"/>
    </row>
    <row r="436" spans="3:8">
      <c r="C436" s="27" t="s">
        <v>25</v>
      </c>
      <c r="D436" s="28" t="s">
        <v>148</v>
      </c>
      <c r="E436" s="29"/>
      <c r="F436" s="30" t="s">
        <v>27</v>
      </c>
      <c r="G436" s="31" t="s">
        <v>128</v>
      </c>
      <c r="H436" s="32">
        <v>71.67</v>
      </c>
    </row>
    <row r="437" spans="3:8">
      <c r="C437" s="33" t="s">
        <v>29</v>
      </c>
      <c r="D437" s="33" t="s">
        <v>30</v>
      </c>
      <c r="E437" s="33" t="s">
        <v>31</v>
      </c>
      <c r="F437" s="34" t="s">
        <v>32</v>
      </c>
      <c r="G437" s="35" t="s">
        <v>33</v>
      </c>
      <c r="H437" s="35" t="s">
        <v>34</v>
      </c>
    </row>
    <row r="438" spans="3:8">
      <c r="C438" s="33"/>
      <c r="D438" s="33"/>
      <c r="E438" s="33"/>
      <c r="F438" s="34"/>
      <c r="G438" s="36"/>
      <c r="H438" s="36"/>
    </row>
    <row r="439" spans="3:8">
      <c r="C439" s="37" t="s">
        <v>35</v>
      </c>
      <c r="D439" s="38" t="s">
        <v>36</v>
      </c>
      <c r="E439" s="39"/>
      <c r="F439" s="40"/>
      <c r="G439" s="41"/>
      <c r="H439" s="42"/>
    </row>
    <row r="440" spans="3:8">
      <c r="C440" s="39"/>
      <c r="D440" s="65"/>
      <c r="E440" s="45"/>
      <c r="F440" s="60"/>
      <c r="G440" s="46">
        <v>0</v>
      </c>
      <c r="H440" s="47">
        <v>0</v>
      </c>
    </row>
    <row r="441" spans="3:8">
      <c r="C441" s="39"/>
      <c r="D441" s="65"/>
      <c r="E441" s="45"/>
      <c r="F441" s="60"/>
      <c r="G441" s="46">
        <v>0</v>
      </c>
      <c r="H441" s="47">
        <v>0</v>
      </c>
    </row>
    <row r="442" spans="3:8">
      <c r="C442" s="39"/>
      <c r="D442" s="65"/>
      <c r="E442" s="39"/>
      <c r="F442" s="60"/>
      <c r="G442" s="46">
        <v>0</v>
      </c>
      <c r="H442" s="47">
        <v>0</v>
      </c>
    </row>
    <row r="443" spans="3:8">
      <c r="C443" s="39"/>
      <c r="D443" s="65"/>
      <c r="E443" s="39"/>
      <c r="F443" s="60"/>
      <c r="G443" s="46">
        <v>0</v>
      </c>
      <c r="H443" s="47">
        <v>0</v>
      </c>
    </row>
    <row r="444" spans="3:8">
      <c r="C444" s="39"/>
      <c r="D444" s="65"/>
      <c r="E444" s="39"/>
      <c r="F444" s="60"/>
      <c r="G444" s="46">
        <v>0</v>
      </c>
      <c r="H444" s="47">
        <v>0</v>
      </c>
    </row>
    <row r="445" spans="3:8">
      <c r="C445" s="39"/>
      <c r="D445" s="65"/>
      <c r="E445" s="39"/>
      <c r="F445" s="60"/>
      <c r="G445" s="46">
        <v>0</v>
      </c>
      <c r="H445" s="47">
        <v>0</v>
      </c>
    </row>
    <row r="446" spans="3:8">
      <c r="C446" s="39"/>
      <c r="D446" s="65"/>
      <c r="E446" s="39"/>
      <c r="F446" s="60"/>
      <c r="G446" s="46">
        <v>0</v>
      </c>
      <c r="H446" s="47">
        <v>0</v>
      </c>
    </row>
    <row r="447" spans="3:8">
      <c r="C447" s="39"/>
      <c r="D447" s="65"/>
      <c r="E447" s="39"/>
      <c r="F447" s="60"/>
      <c r="G447" s="46">
        <v>0</v>
      </c>
      <c r="H447" s="47">
        <v>0</v>
      </c>
    </row>
    <row r="448" spans="3:8">
      <c r="C448" s="39"/>
      <c r="D448" s="65"/>
      <c r="E448" s="39"/>
      <c r="F448" s="60"/>
      <c r="G448" s="46">
        <v>0</v>
      </c>
      <c r="H448" s="47">
        <v>0</v>
      </c>
    </row>
    <row r="449" spans="3:8">
      <c r="C449" s="39"/>
      <c r="D449" s="65"/>
      <c r="E449" s="39"/>
      <c r="F449" s="60"/>
      <c r="G449" s="46">
        <v>0</v>
      </c>
      <c r="H449" s="47">
        <v>0</v>
      </c>
    </row>
    <row r="450" spans="3:8">
      <c r="C450" s="39"/>
      <c r="D450" s="65"/>
      <c r="E450" s="39"/>
      <c r="F450" s="60"/>
      <c r="G450" s="46">
        <v>0</v>
      </c>
      <c r="H450" s="47">
        <v>0</v>
      </c>
    </row>
    <row r="451" spans="3:8">
      <c r="C451" s="39"/>
      <c r="D451" s="65"/>
      <c r="E451" s="39"/>
      <c r="F451" s="60"/>
      <c r="G451" s="46">
        <v>0</v>
      </c>
      <c r="H451" s="47">
        <v>0</v>
      </c>
    </row>
    <row r="452" spans="3:8">
      <c r="C452" s="43"/>
      <c r="D452" s="65"/>
      <c r="E452" s="39"/>
      <c r="F452" s="75"/>
      <c r="G452" s="46">
        <v>0</v>
      </c>
      <c r="H452" s="47">
        <v>0</v>
      </c>
    </row>
    <row r="453" spans="3:8">
      <c r="C453" s="43"/>
      <c r="D453" s="44"/>
      <c r="E453" s="39"/>
      <c r="F453" s="49"/>
      <c r="G453" s="46">
        <v>0</v>
      </c>
      <c r="H453" s="47">
        <v>0</v>
      </c>
    </row>
    <row r="454" spans="3:8">
      <c r="C454" s="39"/>
      <c r="D454" s="44"/>
      <c r="E454" s="39"/>
      <c r="F454" s="49"/>
      <c r="G454" s="47">
        <v>0</v>
      </c>
      <c r="H454" s="47">
        <v>0</v>
      </c>
    </row>
    <row r="455" spans="3:8">
      <c r="C455" s="43"/>
      <c r="D455" s="48"/>
      <c r="E455" s="39"/>
      <c r="F455" s="49"/>
      <c r="G455" s="50">
        <v>0</v>
      </c>
      <c r="H455" s="47">
        <v>0</v>
      </c>
    </row>
    <row r="456" spans="3:8">
      <c r="C456" s="51" t="s">
        <v>37</v>
      </c>
      <c r="D456" s="51"/>
      <c r="E456" s="51"/>
      <c r="F456" s="52"/>
      <c r="G456" s="51"/>
      <c r="H456" s="53">
        <v>0</v>
      </c>
    </row>
    <row r="457" spans="3:8">
      <c r="C457" s="54" t="s">
        <v>38</v>
      </c>
      <c r="D457" s="55" t="s">
        <v>39</v>
      </c>
      <c r="E457" s="56"/>
      <c r="F457" s="57"/>
      <c r="G457" s="58"/>
      <c r="H457" s="58"/>
    </row>
    <row r="458" spans="3:8">
      <c r="C458" s="39"/>
      <c r="D458" s="44"/>
      <c r="E458" s="39"/>
      <c r="F458" s="40"/>
      <c r="G458" s="47">
        <v>0</v>
      </c>
      <c r="H458" s="61">
        <v>0</v>
      </c>
    </row>
    <row r="459" spans="3:8">
      <c r="C459" s="39"/>
      <c r="D459" s="76"/>
      <c r="E459" s="39"/>
      <c r="F459" s="40"/>
      <c r="G459" s="47">
        <v>0</v>
      </c>
      <c r="H459" s="61">
        <v>0</v>
      </c>
    </row>
    <row r="460" spans="3:8">
      <c r="C460" s="39"/>
      <c r="D460" s="76"/>
      <c r="E460" s="39"/>
      <c r="F460" s="40"/>
      <c r="G460" s="47">
        <v>0</v>
      </c>
      <c r="H460" s="61">
        <v>0</v>
      </c>
    </row>
    <row r="461" spans="3:8">
      <c r="C461" s="39"/>
      <c r="D461" s="76"/>
      <c r="E461" s="39"/>
      <c r="F461" s="40"/>
      <c r="G461" s="47">
        <v>0</v>
      </c>
      <c r="H461" s="61">
        <v>0</v>
      </c>
    </row>
    <row r="462" spans="3:8">
      <c r="C462" s="39"/>
      <c r="D462" s="76"/>
      <c r="E462" s="39"/>
      <c r="F462" s="40"/>
      <c r="G462" s="47">
        <v>0</v>
      </c>
      <c r="H462" s="61">
        <v>0</v>
      </c>
    </row>
    <row r="463" spans="3:8">
      <c r="C463" s="39"/>
      <c r="D463" s="76"/>
      <c r="E463" s="39"/>
      <c r="F463" s="40"/>
      <c r="G463" s="47">
        <v>0</v>
      </c>
      <c r="H463" s="61">
        <v>0</v>
      </c>
    </row>
    <row r="464" spans="3:8">
      <c r="C464" s="39"/>
      <c r="D464" s="76"/>
      <c r="E464" s="39"/>
      <c r="F464" s="49"/>
      <c r="G464" s="62">
        <v>0</v>
      </c>
      <c r="H464" s="61">
        <v>0</v>
      </c>
    </row>
    <row r="465" spans="3:8">
      <c r="C465" s="39"/>
      <c r="D465" s="44"/>
      <c r="E465" s="39"/>
      <c r="F465" s="49"/>
      <c r="G465" s="47">
        <v>0</v>
      </c>
      <c r="H465" s="61">
        <v>0</v>
      </c>
    </row>
    <row r="466" spans="3:8">
      <c r="C466" s="51" t="s">
        <v>40</v>
      </c>
      <c r="D466" s="51"/>
      <c r="E466" s="51"/>
      <c r="F466" s="52"/>
      <c r="G466" s="51"/>
      <c r="H466" s="53">
        <v>0</v>
      </c>
    </row>
    <row r="467" spans="3:8">
      <c r="C467" s="54" t="s">
        <v>41</v>
      </c>
      <c r="D467" s="55" t="s">
        <v>42</v>
      </c>
      <c r="E467" s="56"/>
      <c r="F467" s="63"/>
      <c r="G467" s="64"/>
      <c r="H467" s="64">
        <v>0</v>
      </c>
    </row>
    <row r="468" spans="3:8">
      <c r="C468" s="39" t="s">
        <v>120</v>
      </c>
      <c r="D468" s="59" t="s">
        <v>147</v>
      </c>
      <c r="E468" s="39" t="s">
        <v>149</v>
      </c>
      <c r="F468" s="40">
        <v>1</v>
      </c>
      <c r="G468" s="50">
        <v>57.5</v>
      </c>
      <c r="H468" s="50">
        <v>57.5</v>
      </c>
    </row>
    <row r="469" spans="3:8">
      <c r="C469" s="45"/>
      <c r="D469" s="65"/>
      <c r="E469" s="45"/>
      <c r="F469" s="40"/>
      <c r="G469" s="50">
        <v>0</v>
      </c>
      <c r="H469" s="50">
        <v>0</v>
      </c>
    </row>
    <row r="470" spans="3:8">
      <c r="C470" s="45"/>
      <c r="D470" s="65"/>
      <c r="E470" s="45"/>
      <c r="F470" s="40"/>
      <c r="G470" s="50">
        <v>0</v>
      </c>
      <c r="H470" s="61">
        <v>0</v>
      </c>
    </row>
    <row r="471" spans="3:8">
      <c r="C471" s="45"/>
      <c r="D471" s="65"/>
      <c r="E471" s="45"/>
      <c r="F471" s="40"/>
      <c r="G471" s="50">
        <v>0</v>
      </c>
      <c r="H471" s="61">
        <v>0</v>
      </c>
    </row>
    <row r="472" spans="3:8">
      <c r="C472" s="45"/>
      <c r="D472" s="65"/>
      <c r="E472" s="45"/>
      <c r="F472" s="40"/>
      <c r="G472" s="50">
        <v>0</v>
      </c>
      <c r="H472" s="61">
        <v>0</v>
      </c>
    </row>
    <row r="473" spans="3:8">
      <c r="C473" s="45"/>
      <c r="D473" s="65"/>
      <c r="E473" s="45"/>
      <c r="F473" s="40"/>
      <c r="G473" s="50">
        <v>0</v>
      </c>
      <c r="H473" s="61">
        <v>0</v>
      </c>
    </row>
    <row r="474" spans="3:8">
      <c r="C474" s="39"/>
      <c r="D474" s="44"/>
      <c r="E474" s="39"/>
      <c r="F474" s="82"/>
      <c r="G474" s="83">
        <v>0</v>
      </c>
      <c r="H474" s="61">
        <v>0</v>
      </c>
    </row>
    <row r="475" spans="3:8">
      <c r="C475" s="51" t="s">
        <v>43</v>
      </c>
      <c r="D475" s="51"/>
      <c r="E475" s="51"/>
      <c r="F475" s="52"/>
      <c r="G475" s="51"/>
      <c r="H475" s="53">
        <v>57.5</v>
      </c>
    </row>
    <row r="476" spans="3:8" ht="15.75">
      <c r="C476" s="66" t="s">
        <v>44</v>
      </c>
      <c r="D476" s="67"/>
      <c r="E476" s="67"/>
      <c r="F476" s="68"/>
      <c r="G476" s="69"/>
      <c r="H476" s="53">
        <v>57.5</v>
      </c>
    </row>
    <row r="477" spans="3:8" ht="15.75">
      <c r="C477" s="66" t="s">
        <v>45</v>
      </c>
      <c r="D477" s="67"/>
      <c r="E477" s="67"/>
      <c r="F477" s="68"/>
      <c r="G477" s="69"/>
      <c r="H477" s="70">
        <v>14.165207238762401</v>
      </c>
    </row>
    <row r="478" spans="3:8" ht="15.75">
      <c r="C478" s="66" t="s">
        <v>46</v>
      </c>
      <c r="D478" s="67"/>
      <c r="E478" s="67"/>
      <c r="F478" s="68"/>
      <c r="G478" s="69"/>
      <c r="H478" s="53">
        <v>71.67</v>
      </c>
    </row>
    <row r="479" spans="3:8">
      <c r="C479" s="21"/>
      <c r="D479" s="21"/>
      <c r="E479" s="21"/>
      <c r="F479" s="21"/>
      <c r="G479" s="21"/>
      <c r="H479" s="21"/>
    </row>
    <row r="480" spans="3:8">
      <c r="C480" s="22" t="s">
        <v>23</v>
      </c>
      <c r="D480" s="23" t="s">
        <v>150</v>
      </c>
      <c r="E480" s="23"/>
      <c r="F480" s="24"/>
      <c r="G480" s="25"/>
      <c r="H480" s="26"/>
    </row>
    <row r="481" spans="3:8">
      <c r="C481" s="27" t="s">
        <v>25</v>
      </c>
      <c r="D481" s="28" t="s">
        <v>151</v>
      </c>
      <c r="E481" s="29"/>
      <c r="F481" s="30" t="s">
        <v>27</v>
      </c>
      <c r="G481" s="31" t="s">
        <v>152</v>
      </c>
      <c r="H481" s="32">
        <v>1379.89</v>
      </c>
    </row>
    <row r="482" spans="3:8">
      <c r="C482" s="33" t="s">
        <v>29</v>
      </c>
      <c r="D482" s="33" t="s">
        <v>30</v>
      </c>
      <c r="E482" s="33" t="s">
        <v>31</v>
      </c>
      <c r="F482" s="34" t="s">
        <v>32</v>
      </c>
      <c r="G482" s="35" t="s">
        <v>33</v>
      </c>
      <c r="H482" s="35" t="s">
        <v>34</v>
      </c>
    </row>
    <row r="483" spans="3:8">
      <c r="C483" s="33"/>
      <c r="D483" s="33"/>
      <c r="E483" s="33"/>
      <c r="F483" s="34"/>
      <c r="G483" s="36"/>
      <c r="H483" s="36"/>
    </row>
    <row r="484" spans="3:8">
      <c r="C484" s="37" t="s">
        <v>35</v>
      </c>
      <c r="D484" s="38" t="s">
        <v>36</v>
      </c>
      <c r="E484" s="39"/>
      <c r="F484" s="40"/>
      <c r="G484" s="41"/>
      <c r="H484" s="42"/>
    </row>
    <row r="485" spans="3:8">
      <c r="C485" s="39" t="s">
        <v>129</v>
      </c>
      <c r="D485" s="71" t="s">
        <v>132</v>
      </c>
      <c r="E485" s="39" t="s">
        <v>51</v>
      </c>
      <c r="F485" s="60">
        <v>2.1333943994180502</v>
      </c>
      <c r="G485" s="46">
        <v>44.933633313323199</v>
      </c>
      <c r="H485" s="47">
        <v>95.861161656148198</v>
      </c>
    </row>
    <row r="486" spans="3:8">
      <c r="C486" s="39" t="s">
        <v>129</v>
      </c>
      <c r="D486" s="65" t="s">
        <v>130</v>
      </c>
      <c r="E486" s="39" t="s">
        <v>51</v>
      </c>
      <c r="F486" s="60">
        <v>3.50244594516175</v>
      </c>
      <c r="G486" s="46">
        <v>65.776570193015701</v>
      </c>
      <c r="H486" s="47">
        <v>230.378881559175</v>
      </c>
    </row>
    <row r="487" spans="3:8">
      <c r="C487" s="39"/>
      <c r="D487" s="65"/>
      <c r="E487" s="39"/>
      <c r="F487" s="60"/>
      <c r="G487" s="46">
        <v>0</v>
      </c>
      <c r="H487" s="47">
        <v>0</v>
      </c>
    </row>
    <row r="488" spans="3:8">
      <c r="C488" s="39"/>
      <c r="D488" s="65"/>
      <c r="E488" s="39"/>
      <c r="F488" s="60"/>
      <c r="G488" s="46">
        <v>0</v>
      </c>
      <c r="H488" s="47">
        <v>0</v>
      </c>
    </row>
    <row r="489" spans="3:8">
      <c r="C489" s="39"/>
      <c r="D489" s="65"/>
      <c r="E489" s="108"/>
      <c r="F489" s="109"/>
      <c r="G489" s="46">
        <v>0</v>
      </c>
      <c r="H489" s="47">
        <v>0</v>
      </c>
    </row>
    <row r="490" spans="3:8">
      <c r="C490" s="39"/>
      <c r="D490" s="65"/>
      <c r="E490" s="39"/>
      <c r="F490" s="109"/>
      <c r="G490" s="46">
        <v>0</v>
      </c>
      <c r="H490" s="47">
        <v>0</v>
      </c>
    </row>
    <row r="491" spans="3:8">
      <c r="C491" s="43"/>
      <c r="D491" s="65"/>
      <c r="E491" s="39"/>
      <c r="F491" s="109"/>
      <c r="G491" s="46">
        <v>0</v>
      </c>
      <c r="H491" s="47">
        <v>0</v>
      </c>
    </row>
    <row r="492" spans="3:8">
      <c r="C492" s="43"/>
      <c r="D492" s="65"/>
      <c r="E492" s="39"/>
      <c r="F492" s="75"/>
      <c r="G492" s="46">
        <v>0</v>
      </c>
      <c r="H492" s="47">
        <v>0</v>
      </c>
    </row>
    <row r="493" spans="3:8">
      <c r="C493" s="51" t="s">
        <v>37</v>
      </c>
      <c r="D493" s="51"/>
      <c r="E493" s="51"/>
      <c r="F493" s="52"/>
      <c r="G493" s="51"/>
      <c r="H493" s="53">
        <v>326.240043215323</v>
      </c>
    </row>
    <row r="494" spans="3:8">
      <c r="C494" s="54" t="s">
        <v>38</v>
      </c>
      <c r="D494" s="55" t="s">
        <v>39</v>
      </c>
      <c r="E494" s="56"/>
      <c r="F494" s="57"/>
      <c r="G494" s="58"/>
      <c r="H494" s="58"/>
    </row>
    <row r="495" spans="3:8">
      <c r="C495" s="39" t="s">
        <v>53</v>
      </c>
      <c r="D495" s="44" t="s">
        <v>136</v>
      </c>
      <c r="E495" s="39" t="s">
        <v>28</v>
      </c>
      <c r="F495" s="105">
        <v>0.48749999999999999</v>
      </c>
      <c r="G495" s="47">
        <v>32.624004321532297</v>
      </c>
      <c r="H495" s="47">
        <v>15.904202106747</v>
      </c>
    </row>
    <row r="496" spans="3:8">
      <c r="C496" s="39"/>
      <c r="D496" s="76"/>
      <c r="E496" s="39"/>
      <c r="F496" s="40"/>
      <c r="G496" s="47">
        <v>0</v>
      </c>
      <c r="H496" s="61">
        <v>0</v>
      </c>
    </row>
    <row r="497" spans="3:8">
      <c r="C497" s="39"/>
      <c r="D497" s="76"/>
      <c r="E497" s="39"/>
      <c r="F497" s="40"/>
      <c r="G497" s="47">
        <v>0</v>
      </c>
      <c r="H497" s="61">
        <v>0</v>
      </c>
    </row>
    <row r="498" spans="3:8">
      <c r="C498" s="39"/>
      <c r="D498" s="76"/>
      <c r="E498" s="39"/>
      <c r="F498" s="40"/>
      <c r="G498" s="47">
        <v>0</v>
      </c>
      <c r="H498" s="61">
        <v>0</v>
      </c>
    </row>
    <row r="499" spans="3:8">
      <c r="C499" s="39"/>
      <c r="D499" s="76"/>
      <c r="E499" s="39"/>
      <c r="F499" s="40"/>
      <c r="G499" s="47">
        <v>0</v>
      </c>
      <c r="H499" s="61">
        <v>0</v>
      </c>
    </row>
    <row r="500" spans="3:8">
      <c r="C500" s="39"/>
      <c r="D500" s="76"/>
      <c r="E500" s="39"/>
      <c r="F500" s="40"/>
      <c r="G500" s="47">
        <v>0</v>
      </c>
      <c r="H500" s="61">
        <v>0</v>
      </c>
    </row>
    <row r="501" spans="3:8">
      <c r="C501" s="39"/>
      <c r="D501" s="76"/>
      <c r="E501" s="39"/>
      <c r="F501" s="49"/>
      <c r="G501" s="62">
        <v>0</v>
      </c>
      <c r="H501" s="61">
        <v>0</v>
      </c>
    </row>
    <row r="502" spans="3:8">
      <c r="C502" s="39"/>
      <c r="D502" s="44"/>
      <c r="E502" s="39"/>
      <c r="F502" s="49"/>
      <c r="G502" s="47">
        <v>0</v>
      </c>
      <c r="H502" s="61">
        <v>0</v>
      </c>
    </row>
    <row r="503" spans="3:8">
      <c r="C503" s="51" t="s">
        <v>40</v>
      </c>
      <c r="D503" s="51"/>
      <c r="E503" s="51"/>
      <c r="F503" s="52"/>
      <c r="G503" s="51"/>
      <c r="H503" s="53">
        <v>15.904202106747</v>
      </c>
    </row>
    <row r="504" spans="3:8">
      <c r="C504" s="54" t="s">
        <v>41</v>
      </c>
      <c r="D504" s="55" t="s">
        <v>42</v>
      </c>
      <c r="E504" s="56"/>
      <c r="F504" s="63"/>
      <c r="G504" s="64"/>
      <c r="H504" s="64">
        <v>0</v>
      </c>
    </row>
    <row r="505" spans="3:8">
      <c r="C505" s="45" t="s">
        <v>77</v>
      </c>
      <c r="D505" s="65" t="s">
        <v>153</v>
      </c>
      <c r="E505" s="45" t="s">
        <v>154</v>
      </c>
      <c r="F505" s="40">
        <v>1.1000000000000001</v>
      </c>
      <c r="G505" s="50">
        <v>650</v>
      </c>
      <c r="H505" s="50">
        <v>715</v>
      </c>
    </row>
    <row r="506" spans="3:8">
      <c r="C506" s="45" t="s">
        <v>77</v>
      </c>
      <c r="D506" s="65" t="s">
        <v>155</v>
      </c>
      <c r="E506" s="45" t="s">
        <v>154</v>
      </c>
      <c r="F506" s="40">
        <v>1</v>
      </c>
      <c r="G506" s="50">
        <v>50</v>
      </c>
      <c r="H506" s="61">
        <v>50</v>
      </c>
    </row>
    <row r="507" spans="3:8">
      <c r="C507" s="45"/>
      <c r="D507" s="65"/>
      <c r="E507" s="45"/>
      <c r="F507" s="40"/>
      <c r="G507" s="50">
        <v>0</v>
      </c>
      <c r="H507" s="61">
        <v>0</v>
      </c>
    </row>
    <row r="508" spans="3:8">
      <c r="C508" s="45"/>
      <c r="D508" s="65"/>
      <c r="E508" s="45"/>
      <c r="F508" s="40"/>
      <c r="G508" s="50">
        <v>0</v>
      </c>
      <c r="H508" s="61">
        <v>0</v>
      </c>
    </row>
    <row r="509" spans="3:8">
      <c r="C509" s="45"/>
      <c r="D509" s="65"/>
      <c r="E509" s="45"/>
      <c r="F509" s="40"/>
      <c r="G509" s="50">
        <v>0</v>
      </c>
      <c r="H509" s="61">
        <v>0</v>
      </c>
    </row>
    <row r="510" spans="3:8">
      <c r="C510" s="45"/>
      <c r="D510" s="65"/>
      <c r="E510" s="45"/>
      <c r="F510" s="40"/>
      <c r="G510" s="50">
        <v>0</v>
      </c>
      <c r="H510" s="61">
        <v>0</v>
      </c>
    </row>
    <row r="511" spans="3:8">
      <c r="C511" s="45"/>
      <c r="D511" s="65"/>
      <c r="E511" s="45"/>
      <c r="F511" s="40"/>
      <c r="G511" s="50">
        <v>0</v>
      </c>
      <c r="H511" s="61">
        <v>0</v>
      </c>
    </row>
    <row r="512" spans="3:8">
      <c r="C512" s="51" t="s">
        <v>43</v>
      </c>
      <c r="D512" s="51"/>
      <c r="E512" s="51"/>
      <c r="F512" s="52"/>
      <c r="G512" s="51"/>
      <c r="H512" s="53">
        <v>765</v>
      </c>
    </row>
    <row r="513" spans="3:8" ht="15.75">
      <c r="C513" s="66" t="s">
        <v>44</v>
      </c>
      <c r="D513" s="67"/>
      <c r="E513" s="67"/>
      <c r="F513" s="68"/>
      <c r="G513" s="69"/>
      <c r="H513" s="53">
        <v>1107.14424532207</v>
      </c>
    </row>
    <row r="514" spans="3:8" ht="15.75">
      <c r="C514" s="66" t="s">
        <v>45</v>
      </c>
      <c r="D514" s="67"/>
      <c r="E514" s="67"/>
      <c r="F514" s="68"/>
      <c r="G514" s="69"/>
      <c r="H514" s="70">
        <v>272.74656831635298</v>
      </c>
    </row>
    <row r="515" spans="3:8" ht="15.75">
      <c r="C515" s="66" t="s">
        <v>46</v>
      </c>
      <c r="D515" s="67"/>
      <c r="E515" s="67"/>
      <c r="F515" s="68"/>
      <c r="G515" s="69"/>
      <c r="H515" s="53">
        <v>1379.89</v>
      </c>
    </row>
    <row r="516" spans="3:8" ht="15.75">
      <c r="C516" s="110"/>
      <c r="D516" s="110"/>
      <c r="E516" s="110"/>
      <c r="F516" s="111"/>
      <c r="G516" s="110"/>
      <c r="H516" s="112"/>
    </row>
    <row r="517" spans="3:8" ht="30">
      <c r="C517" s="22" t="s">
        <v>23</v>
      </c>
      <c r="D517" s="23" t="s">
        <v>156</v>
      </c>
      <c r="E517" s="23"/>
      <c r="F517" s="24"/>
      <c r="G517" s="25"/>
      <c r="H517" s="26"/>
    </row>
    <row r="518" spans="3:8">
      <c r="C518" s="27" t="s">
        <v>25</v>
      </c>
      <c r="D518" s="28" t="s">
        <v>157</v>
      </c>
      <c r="E518" s="29"/>
      <c r="F518" s="30" t="s">
        <v>27</v>
      </c>
      <c r="G518" s="31" t="s">
        <v>128</v>
      </c>
      <c r="H518" s="32">
        <v>6077.01</v>
      </c>
    </row>
    <row r="519" spans="3:8">
      <c r="C519" s="33" t="s">
        <v>29</v>
      </c>
      <c r="D519" s="33" t="s">
        <v>30</v>
      </c>
      <c r="E519" s="33" t="s">
        <v>31</v>
      </c>
      <c r="F519" s="34" t="s">
        <v>32</v>
      </c>
      <c r="G519" s="35" t="s">
        <v>33</v>
      </c>
      <c r="H519" s="35" t="s">
        <v>34</v>
      </c>
    </row>
    <row r="520" spans="3:8">
      <c r="C520" s="33"/>
      <c r="D520" s="33"/>
      <c r="E520" s="33"/>
      <c r="F520" s="34"/>
      <c r="G520" s="36"/>
      <c r="H520" s="36"/>
    </row>
    <row r="521" spans="3:8">
      <c r="C521" s="37" t="s">
        <v>35</v>
      </c>
      <c r="D521" s="38" t="s">
        <v>36</v>
      </c>
      <c r="E521" s="39"/>
      <c r="F521" s="40"/>
      <c r="G521" s="41"/>
      <c r="H521" s="42"/>
    </row>
    <row r="522" spans="3:8">
      <c r="C522" s="39" t="s">
        <v>49</v>
      </c>
      <c r="D522" s="71" t="s">
        <v>158</v>
      </c>
      <c r="E522" s="39" t="s">
        <v>131</v>
      </c>
      <c r="F522" s="60">
        <v>10.216876859741699</v>
      </c>
      <c r="G522" s="46">
        <v>90.031958516899607</v>
      </c>
      <c r="H522" s="47">
        <v>919.84543360853604</v>
      </c>
    </row>
    <row r="523" spans="3:8">
      <c r="C523" s="39" t="s">
        <v>49</v>
      </c>
      <c r="D523" s="65" t="s">
        <v>50</v>
      </c>
      <c r="E523" s="39" t="s">
        <v>131</v>
      </c>
      <c r="F523" s="60">
        <v>8.6639814990290294</v>
      </c>
      <c r="G523" s="46">
        <v>79.456006436582399</v>
      </c>
      <c r="H523" s="47">
        <v>688.40536975328098</v>
      </c>
    </row>
    <row r="524" spans="3:8">
      <c r="C524" s="39" t="s">
        <v>49</v>
      </c>
      <c r="D524" s="65" t="s">
        <v>159</v>
      </c>
      <c r="E524" s="108" t="s">
        <v>131</v>
      </c>
      <c r="F524" s="113">
        <v>3.4121987106697298</v>
      </c>
      <c r="G524" s="46">
        <v>89.242314887296502</v>
      </c>
      <c r="H524" s="47">
        <v>304.51251179561501</v>
      </c>
    </row>
    <row r="525" spans="3:8">
      <c r="C525" s="39" t="s">
        <v>49</v>
      </c>
      <c r="D525" s="65" t="s">
        <v>52</v>
      </c>
      <c r="E525" s="108" t="s">
        <v>131</v>
      </c>
      <c r="F525" s="60">
        <v>9.2260602698387899</v>
      </c>
      <c r="G525" s="46">
        <v>45.411750977784699</v>
      </c>
      <c r="H525" s="47">
        <v>418.97155147995198</v>
      </c>
    </row>
    <row r="526" spans="3:8">
      <c r="C526" s="39" t="s">
        <v>49</v>
      </c>
      <c r="D526" s="65" t="s">
        <v>160</v>
      </c>
      <c r="E526" s="39" t="s">
        <v>131</v>
      </c>
      <c r="F526" s="60">
        <v>7.0583943147396901</v>
      </c>
      <c r="G526" s="46">
        <v>74.717676591289106</v>
      </c>
      <c r="H526" s="47">
        <v>527.38682366251396</v>
      </c>
    </row>
    <row r="527" spans="3:8">
      <c r="C527" s="39" t="s">
        <v>49</v>
      </c>
      <c r="D527" s="65" t="s">
        <v>133</v>
      </c>
      <c r="E527" s="39" t="s">
        <v>131</v>
      </c>
      <c r="F527" s="60">
        <v>1.1224708356253501</v>
      </c>
      <c r="G527" s="46">
        <v>52.035429693461801</v>
      </c>
      <c r="H527" s="47">
        <v>58.408252250144201</v>
      </c>
    </row>
    <row r="528" spans="3:8">
      <c r="C528" s="43"/>
      <c r="D528" s="65"/>
      <c r="E528" s="39"/>
      <c r="F528" s="75"/>
      <c r="G528" s="46"/>
      <c r="H528" s="47">
        <v>0</v>
      </c>
    </row>
    <row r="529" spans="3:8">
      <c r="C529" s="51" t="s">
        <v>37</v>
      </c>
      <c r="D529" s="51"/>
      <c r="E529" s="51"/>
      <c r="F529" s="52"/>
      <c r="G529" s="51"/>
      <c r="H529" s="53">
        <v>2917.5299425500398</v>
      </c>
    </row>
    <row r="530" spans="3:8">
      <c r="C530" s="54" t="s">
        <v>38</v>
      </c>
      <c r="D530" s="55" t="s">
        <v>39</v>
      </c>
      <c r="E530" s="56"/>
      <c r="F530" s="57"/>
      <c r="G530" s="58"/>
      <c r="H530" s="58"/>
    </row>
    <row r="531" spans="3:8">
      <c r="C531" s="39" t="s">
        <v>53</v>
      </c>
      <c r="D531" s="76" t="s">
        <v>161</v>
      </c>
      <c r="E531" s="39" t="s">
        <v>51</v>
      </c>
      <c r="F531" s="60">
        <v>1.55227833394235</v>
      </c>
      <c r="G531" s="62">
        <v>264.062314369408</v>
      </c>
      <c r="H531" s="61">
        <v>409.89820940630801</v>
      </c>
    </row>
    <row r="532" spans="3:8">
      <c r="C532" s="39" t="s">
        <v>53</v>
      </c>
      <c r="D532" s="76" t="s">
        <v>162</v>
      </c>
      <c r="E532" s="39" t="s">
        <v>51</v>
      </c>
      <c r="F532" s="60">
        <v>0.28884026258205697</v>
      </c>
      <c r="G532" s="62">
        <v>329.95867768595002</v>
      </c>
      <c r="H532" s="61">
        <v>95.305351104038195</v>
      </c>
    </row>
    <row r="533" spans="3:8">
      <c r="C533" s="39" t="s">
        <v>53</v>
      </c>
      <c r="D533" s="76" t="s">
        <v>136</v>
      </c>
      <c r="E533" s="39" t="s">
        <v>28</v>
      </c>
      <c r="F533" s="105">
        <v>0.48749999999999999</v>
      </c>
      <c r="G533" s="62">
        <v>145.87649712750201</v>
      </c>
      <c r="H533" s="61">
        <v>71.114792349657293</v>
      </c>
    </row>
    <row r="534" spans="3:8">
      <c r="C534" s="39" t="s">
        <v>53</v>
      </c>
      <c r="D534" s="76" t="s">
        <v>163</v>
      </c>
      <c r="E534" s="39" t="s">
        <v>128</v>
      </c>
      <c r="F534" s="40">
        <v>0.69118632707774796</v>
      </c>
      <c r="G534" s="62">
        <v>304.92424242424198</v>
      </c>
      <c r="H534" s="61">
        <v>210.75946715817699</v>
      </c>
    </row>
    <row r="535" spans="3:8">
      <c r="C535" s="39" t="s">
        <v>53</v>
      </c>
      <c r="D535" s="76" t="s">
        <v>164</v>
      </c>
      <c r="E535" s="39" t="s">
        <v>51</v>
      </c>
      <c r="F535" s="40">
        <v>0.35257540305779</v>
      </c>
      <c r="G535" s="47">
        <v>349.827272727273</v>
      </c>
      <c r="H535" s="61">
        <v>123.34049168242601</v>
      </c>
    </row>
    <row r="536" spans="3:8">
      <c r="C536" s="39" t="s">
        <v>53</v>
      </c>
      <c r="D536" s="76" t="s">
        <v>165</v>
      </c>
      <c r="E536" s="39" t="s">
        <v>51</v>
      </c>
      <c r="F536" s="40">
        <v>0.28884026258205697</v>
      </c>
      <c r="G536" s="62">
        <v>506.42566941826999</v>
      </c>
      <c r="H536" s="61">
        <v>146.27612333306701</v>
      </c>
    </row>
    <row r="537" spans="3:8">
      <c r="C537" s="39" t="s">
        <v>53</v>
      </c>
      <c r="D537" s="44" t="s">
        <v>166</v>
      </c>
      <c r="E537" s="39" t="s">
        <v>51</v>
      </c>
      <c r="F537" s="40">
        <v>0.28884026258205697</v>
      </c>
      <c r="G537" s="62">
        <v>506.42566941826999</v>
      </c>
      <c r="H537" s="61">
        <v>146.27612333306701</v>
      </c>
    </row>
    <row r="538" spans="3:8">
      <c r="C538" s="51" t="s">
        <v>40</v>
      </c>
      <c r="D538" s="51"/>
      <c r="E538" s="51"/>
      <c r="F538" s="52"/>
      <c r="G538" s="51"/>
      <c r="H538" s="53">
        <v>1202.9705583667401</v>
      </c>
    </row>
    <row r="539" spans="3:8">
      <c r="C539" s="54" t="s">
        <v>41</v>
      </c>
      <c r="D539" s="55" t="s">
        <v>42</v>
      </c>
      <c r="E539" s="56"/>
      <c r="F539" s="63"/>
      <c r="G539" s="64"/>
      <c r="H539" s="64">
        <v>0</v>
      </c>
    </row>
    <row r="540" spans="3:8">
      <c r="C540" s="45" t="s">
        <v>77</v>
      </c>
      <c r="D540" s="65" t="s">
        <v>167</v>
      </c>
      <c r="E540" s="108" t="s">
        <v>55</v>
      </c>
      <c r="F540" s="60">
        <v>0.65</v>
      </c>
      <c r="G540" s="46">
        <v>50</v>
      </c>
      <c r="H540" s="47">
        <v>32.5</v>
      </c>
    </row>
    <row r="541" spans="3:8">
      <c r="C541" s="45" t="s">
        <v>77</v>
      </c>
      <c r="D541" s="65" t="s">
        <v>168</v>
      </c>
      <c r="E541" s="108" t="s">
        <v>55</v>
      </c>
      <c r="F541" s="60">
        <v>1</v>
      </c>
      <c r="G541" s="46">
        <v>110</v>
      </c>
      <c r="H541" s="47">
        <v>110</v>
      </c>
    </row>
    <row r="542" spans="3:8">
      <c r="C542" s="45" t="s">
        <v>77</v>
      </c>
      <c r="D542" s="65" t="s">
        <v>169</v>
      </c>
      <c r="E542" s="45" t="s">
        <v>154</v>
      </c>
      <c r="F542" s="40">
        <v>15</v>
      </c>
      <c r="G542" s="50">
        <v>9.5</v>
      </c>
      <c r="H542" s="61">
        <v>142.5</v>
      </c>
    </row>
    <row r="543" spans="3:8">
      <c r="C543" s="45" t="s">
        <v>77</v>
      </c>
      <c r="D543" s="65" t="s">
        <v>170</v>
      </c>
      <c r="E543" s="45" t="s">
        <v>171</v>
      </c>
      <c r="F543" s="40">
        <v>2.2999999999999998</v>
      </c>
      <c r="G543" s="50">
        <v>90</v>
      </c>
      <c r="H543" s="61">
        <v>207</v>
      </c>
    </row>
    <row r="544" spans="3:8">
      <c r="C544" s="45" t="s">
        <v>77</v>
      </c>
      <c r="D544" s="65" t="s">
        <v>172</v>
      </c>
      <c r="E544" s="45" t="s">
        <v>28</v>
      </c>
      <c r="F544" s="40">
        <v>1</v>
      </c>
      <c r="G544" s="50">
        <v>153.37506452415499</v>
      </c>
      <c r="H544" s="61">
        <v>153.37506452415499</v>
      </c>
    </row>
    <row r="545" spans="3:8">
      <c r="C545" s="45" t="s">
        <v>77</v>
      </c>
      <c r="D545" s="65" t="s">
        <v>173</v>
      </c>
      <c r="E545" s="45" t="s">
        <v>28</v>
      </c>
      <c r="F545" s="40">
        <v>0.5</v>
      </c>
      <c r="G545" s="50">
        <v>219.92292225201101</v>
      </c>
      <c r="H545" s="61">
        <v>109.96146112600501</v>
      </c>
    </row>
    <row r="546" spans="3:8">
      <c r="C546" s="45"/>
      <c r="D546" s="65"/>
      <c r="E546" s="45"/>
      <c r="F546" s="40"/>
      <c r="G546" s="50">
        <v>0</v>
      </c>
      <c r="H546" s="61">
        <v>0</v>
      </c>
    </row>
    <row r="547" spans="3:8">
      <c r="C547" s="45"/>
      <c r="D547" s="65"/>
      <c r="E547" s="45"/>
      <c r="F547" s="40"/>
      <c r="G547" s="50">
        <v>0</v>
      </c>
      <c r="H547" s="61">
        <v>0</v>
      </c>
    </row>
    <row r="548" spans="3:8">
      <c r="C548" s="51" t="s">
        <v>43</v>
      </c>
      <c r="D548" s="51"/>
      <c r="E548" s="51"/>
      <c r="F548" s="52"/>
      <c r="G548" s="51"/>
      <c r="H548" s="53">
        <v>755.33652565015996</v>
      </c>
    </row>
    <row r="549" spans="3:8" ht="15.75">
      <c r="C549" s="66" t="s">
        <v>44</v>
      </c>
      <c r="D549" s="67"/>
      <c r="E549" s="67"/>
      <c r="F549" s="68"/>
      <c r="G549" s="69"/>
      <c r="H549" s="53">
        <v>4875.83702656694</v>
      </c>
    </row>
    <row r="550" spans="3:8" ht="15.75">
      <c r="C550" s="66" t="s">
        <v>45</v>
      </c>
      <c r="D550" s="67"/>
      <c r="E550" s="67"/>
      <c r="F550" s="68"/>
      <c r="G550" s="69"/>
      <c r="H550" s="70">
        <v>1201.1694251087299</v>
      </c>
    </row>
    <row r="551" spans="3:8" ht="15.75">
      <c r="C551" s="66" t="s">
        <v>46</v>
      </c>
      <c r="D551" s="67"/>
      <c r="E551" s="67"/>
      <c r="F551" s="68"/>
      <c r="G551" s="69"/>
      <c r="H551" s="53">
        <v>6077.01</v>
      </c>
    </row>
    <row r="552" spans="3:8" ht="15.75">
      <c r="C552" s="110"/>
      <c r="D552" s="110"/>
      <c r="E552" s="110"/>
      <c r="F552" s="111"/>
      <c r="G552" s="110"/>
      <c r="H552" s="112"/>
    </row>
    <row r="553" spans="3:8">
      <c r="C553" s="22" t="s">
        <v>23</v>
      </c>
      <c r="D553" s="23" t="s">
        <v>174</v>
      </c>
      <c r="E553" s="23"/>
      <c r="F553" s="24"/>
      <c r="G553" s="25"/>
      <c r="H553" s="26"/>
    </row>
    <row r="554" spans="3:8">
      <c r="C554" s="27" t="s">
        <v>25</v>
      </c>
      <c r="D554" s="28" t="s">
        <v>175</v>
      </c>
      <c r="E554" s="29"/>
      <c r="F554" s="30" t="s">
        <v>27</v>
      </c>
      <c r="G554" s="31" t="s">
        <v>176</v>
      </c>
      <c r="H554" s="32">
        <v>36.659999999999997</v>
      </c>
    </row>
    <row r="555" spans="3:8">
      <c r="C555" s="33" t="s">
        <v>29</v>
      </c>
      <c r="D555" s="33" t="s">
        <v>30</v>
      </c>
      <c r="E555" s="33" t="s">
        <v>31</v>
      </c>
      <c r="F555" s="34" t="s">
        <v>32</v>
      </c>
      <c r="G555" s="35" t="s">
        <v>33</v>
      </c>
      <c r="H555" s="35" t="s">
        <v>34</v>
      </c>
    </row>
    <row r="556" spans="3:8">
      <c r="C556" s="33"/>
      <c r="D556" s="33"/>
      <c r="E556" s="33"/>
      <c r="F556" s="34"/>
      <c r="G556" s="36"/>
      <c r="H556" s="36"/>
    </row>
    <row r="557" spans="3:8">
      <c r="C557" s="37" t="s">
        <v>35</v>
      </c>
      <c r="D557" s="38" t="s">
        <v>36</v>
      </c>
      <c r="E557" s="39"/>
      <c r="F557" s="40"/>
      <c r="G557" s="41"/>
      <c r="H557" s="42"/>
    </row>
    <row r="558" spans="3:8">
      <c r="C558" s="39" t="s">
        <v>129</v>
      </c>
      <c r="D558" s="71" t="s">
        <v>177</v>
      </c>
      <c r="E558" s="39" t="s">
        <v>131</v>
      </c>
      <c r="F558" s="60">
        <v>0.14708571428571399</v>
      </c>
      <c r="G558" s="46">
        <v>110.335890968005</v>
      </c>
      <c r="H558" s="47">
        <v>16.228833334379701</v>
      </c>
    </row>
    <row r="559" spans="3:8">
      <c r="C559" s="39" t="s">
        <v>49</v>
      </c>
      <c r="D559" s="65" t="s">
        <v>178</v>
      </c>
      <c r="E559" s="39" t="s">
        <v>131</v>
      </c>
      <c r="F559" s="60">
        <v>2.1759251734475699E-2</v>
      </c>
      <c r="G559" s="46">
        <v>45.411750977784699</v>
      </c>
      <c r="H559" s="47">
        <v>0.98812572122893905</v>
      </c>
    </row>
    <row r="560" spans="3:8">
      <c r="C560" s="39"/>
      <c r="D560" s="65"/>
      <c r="E560" s="108"/>
      <c r="F560" s="113"/>
      <c r="G560" s="46">
        <v>0</v>
      </c>
      <c r="H560" s="47">
        <v>0</v>
      </c>
    </row>
    <row r="561" spans="3:8">
      <c r="C561" s="39"/>
      <c r="D561" s="65"/>
      <c r="E561" s="108"/>
      <c r="F561" s="60"/>
      <c r="G561" s="46">
        <v>0</v>
      </c>
      <c r="H561" s="47">
        <v>0</v>
      </c>
    </row>
    <row r="562" spans="3:8">
      <c r="C562" s="39"/>
      <c r="D562" s="65"/>
      <c r="E562" s="39"/>
      <c r="F562" s="60"/>
      <c r="G562" s="46">
        <v>0</v>
      </c>
      <c r="H562" s="47">
        <v>0</v>
      </c>
    </row>
    <row r="563" spans="3:8">
      <c r="C563" s="39"/>
      <c r="D563" s="65"/>
      <c r="E563" s="39"/>
      <c r="F563" s="60"/>
      <c r="G563" s="46">
        <v>0</v>
      </c>
      <c r="H563" s="47">
        <v>0</v>
      </c>
    </row>
    <row r="564" spans="3:8">
      <c r="C564" s="43"/>
      <c r="D564" s="65"/>
      <c r="E564" s="39"/>
      <c r="F564" s="75"/>
      <c r="G564" s="46">
        <v>0</v>
      </c>
      <c r="H564" s="47">
        <v>0</v>
      </c>
    </row>
    <row r="565" spans="3:8">
      <c r="C565" s="51" t="s">
        <v>37</v>
      </c>
      <c r="D565" s="51"/>
      <c r="E565" s="51"/>
      <c r="F565" s="52"/>
      <c r="G565" s="51"/>
      <c r="H565" s="53">
        <v>17.216959055608601</v>
      </c>
    </row>
    <row r="566" spans="3:8">
      <c r="C566" s="54" t="s">
        <v>38</v>
      </c>
      <c r="D566" s="55" t="s">
        <v>39</v>
      </c>
      <c r="E566" s="56"/>
      <c r="F566" s="57"/>
      <c r="G566" s="58"/>
      <c r="H566" s="58"/>
    </row>
    <row r="567" spans="3:8">
      <c r="C567" s="39" t="s">
        <v>179</v>
      </c>
      <c r="D567" s="76" t="s">
        <v>180</v>
      </c>
      <c r="E567" s="39" t="s">
        <v>55</v>
      </c>
      <c r="F567" s="60">
        <v>1</v>
      </c>
      <c r="G567" s="62">
        <v>1.25</v>
      </c>
      <c r="H567" s="61">
        <v>1.25</v>
      </c>
    </row>
    <row r="568" spans="3:8">
      <c r="C568" s="39" t="s">
        <v>179</v>
      </c>
      <c r="D568" s="76" t="s">
        <v>181</v>
      </c>
      <c r="E568" s="39" t="s">
        <v>55</v>
      </c>
      <c r="F568" s="60">
        <v>1</v>
      </c>
      <c r="G568" s="62">
        <v>3.99</v>
      </c>
      <c r="H568" s="61">
        <v>3.99</v>
      </c>
    </row>
    <row r="569" spans="3:8">
      <c r="C569" s="39" t="s">
        <v>53</v>
      </c>
      <c r="D569" s="76" t="s">
        <v>136</v>
      </c>
      <c r="E569" s="39" t="s">
        <v>28</v>
      </c>
      <c r="F569" s="105">
        <v>0.48749999999999999</v>
      </c>
      <c r="G569" s="62">
        <v>1.7216959055608601</v>
      </c>
      <c r="H569" s="61">
        <v>0.83932675396092105</v>
      </c>
    </row>
    <row r="570" spans="3:8">
      <c r="C570" s="39" t="s">
        <v>53</v>
      </c>
      <c r="D570" s="76" t="s">
        <v>161</v>
      </c>
      <c r="E570" s="39" t="s">
        <v>131</v>
      </c>
      <c r="F570" s="60">
        <v>2.31689454174622E-2</v>
      </c>
      <c r="G570" s="62">
        <v>264.062314369408</v>
      </c>
      <c r="H570" s="61">
        <v>6.1180453484335597</v>
      </c>
    </row>
    <row r="571" spans="3:8">
      <c r="C571" s="39"/>
      <c r="D571" s="76"/>
      <c r="E571" s="39"/>
      <c r="F571" s="40"/>
      <c r="G571" s="62">
        <v>0</v>
      </c>
      <c r="H571" s="61">
        <v>0</v>
      </c>
    </row>
    <row r="572" spans="3:8">
      <c r="C572" s="39"/>
      <c r="D572" s="76"/>
      <c r="E572" s="39"/>
      <c r="F572" s="40"/>
      <c r="G572" s="47">
        <v>0</v>
      </c>
      <c r="H572" s="61">
        <v>0</v>
      </c>
    </row>
    <row r="573" spans="3:8">
      <c r="C573" s="39"/>
      <c r="D573" s="76"/>
      <c r="E573" s="39"/>
      <c r="F573" s="40"/>
      <c r="G573" s="62">
        <v>0</v>
      </c>
      <c r="H573" s="61">
        <v>0</v>
      </c>
    </row>
    <row r="574" spans="3:8">
      <c r="C574" s="39"/>
      <c r="D574" s="44"/>
      <c r="E574" s="39"/>
      <c r="F574" s="49"/>
      <c r="G574" s="47">
        <v>0</v>
      </c>
      <c r="H574" s="61">
        <v>0</v>
      </c>
    </row>
    <row r="575" spans="3:8">
      <c r="C575" s="51" t="s">
        <v>40</v>
      </c>
      <c r="D575" s="51"/>
      <c r="E575" s="51"/>
      <c r="F575" s="52"/>
      <c r="G575" s="51"/>
      <c r="H575" s="53">
        <v>12.1973721023945</v>
      </c>
    </row>
    <row r="576" spans="3:8">
      <c r="C576" s="54" t="s">
        <v>41</v>
      </c>
      <c r="D576" s="55" t="s">
        <v>42</v>
      </c>
      <c r="E576" s="56"/>
      <c r="F576" s="63"/>
      <c r="G576" s="64"/>
      <c r="H576" s="64">
        <v>0</v>
      </c>
    </row>
    <row r="577" spans="3:8">
      <c r="C577" s="45"/>
      <c r="D577" s="65"/>
      <c r="E577" s="108"/>
      <c r="F577" s="60"/>
      <c r="G577" s="62">
        <v>0</v>
      </c>
      <c r="H577" s="47">
        <v>0</v>
      </c>
    </row>
    <row r="578" spans="3:8">
      <c r="C578" s="45"/>
      <c r="D578" s="65"/>
      <c r="E578" s="108"/>
      <c r="F578" s="60"/>
      <c r="G578" s="62">
        <v>0</v>
      </c>
      <c r="H578" s="47">
        <v>0</v>
      </c>
    </row>
    <row r="579" spans="3:8">
      <c r="C579" s="45"/>
      <c r="D579" s="65"/>
      <c r="E579" s="45"/>
      <c r="F579" s="40"/>
      <c r="G579" s="62">
        <v>0</v>
      </c>
      <c r="H579" s="61">
        <v>0</v>
      </c>
    </row>
    <row r="580" spans="3:8">
      <c r="C580" s="45"/>
      <c r="D580" s="65"/>
      <c r="E580" s="45"/>
      <c r="F580" s="40"/>
      <c r="G580" s="62">
        <v>0</v>
      </c>
      <c r="H580" s="61">
        <v>0</v>
      </c>
    </row>
    <row r="581" spans="3:8">
      <c r="C581" s="45"/>
      <c r="D581" s="65"/>
      <c r="E581" s="45"/>
      <c r="F581" s="40"/>
      <c r="G581" s="62">
        <v>0</v>
      </c>
      <c r="H581" s="61">
        <v>0</v>
      </c>
    </row>
    <row r="582" spans="3:8">
      <c r="C582" s="45"/>
      <c r="D582" s="65"/>
      <c r="E582" s="45"/>
      <c r="F582" s="40"/>
      <c r="G582" s="62">
        <v>0</v>
      </c>
      <c r="H582" s="61">
        <v>0</v>
      </c>
    </row>
    <row r="583" spans="3:8">
      <c r="C583" s="45"/>
      <c r="D583" s="65"/>
      <c r="E583" s="45"/>
      <c r="F583" s="40"/>
      <c r="G583" s="50">
        <v>0</v>
      </c>
      <c r="H583" s="61">
        <v>0</v>
      </c>
    </row>
    <row r="584" spans="3:8">
      <c r="C584" s="45"/>
      <c r="D584" s="65"/>
      <c r="E584" s="45"/>
      <c r="F584" s="40"/>
      <c r="G584" s="50">
        <v>0</v>
      </c>
      <c r="H584" s="61">
        <v>0</v>
      </c>
    </row>
    <row r="585" spans="3:8">
      <c r="C585" s="51" t="s">
        <v>43</v>
      </c>
      <c r="D585" s="51"/>
      <c r="E585" s="51"/>
      <c r="F585" s="52"/>
      <c r="G585" s="51"/>
      <c r="H585" s="53">
        <v>0</v>
      </c>
    </row>
    <row r="586" spans="3:8" ht="15.75">
      <c r="C586" s="66" t="s">
        <v>44</v>
      </c>
      <c r="D586" s="67"/>
      <c r="E586" s="67"/>
      <c r="F586" s="68"/>
      <c r="G586" s="69"/>
      <c r="H586" s="53">
        <v>29.414331158003101</v>
      </c>
    </row>
    <row r="587" spans="3:8" ht="15.75">
      <c r="C587" s="66" t="s">
        <v>45</v>
      </c>
      <c r="D587" s="67"/>
      <c r="E587" s="67"/>
      <c r="F587" s="68"/>
      <c r="G587" s="69"/>
      <c r="H587" s="70">
        <v>7.2462625503078204</v>
      </c>
    </row>
    <row r="588" spans="3:8" ht="15.75">
      <c r="C588" s="66" t="s">
        <v>46</v>
      </c>
      <c r="D588" s="67"/>
      <c r="E588" s="67"/>
      <c r="F588" s="68"/>
      <c r="G588" s="69"/>
      <c r="H588" s="53">
        <v>36.659999999999997</v>
      </c>
    </row>
    <row r="589" spans="3:8" ht="15.75">
      <c r="C589" s="110"/>
      <c r="D589" s="110"/>
      <c r="E589" s="110"/>
      <c r="F589" s="111"/>
      <c r="G589" s="110"/>
      <c r="H589" s="112"/>
    </row>
    <row r="590" spans="3:8" ht="72.75" customHeight="1">
      <c r="C590" s="22" t="s">
        <v>23</v>
      </c>
      <c r="D590" s="23" t="s">
        <v>182</v>
      </c>
      <c r="E590" s="23"/>
      <c r="F590" s="24"/>
      <c r="G590" s="25"/>
      <c r="H590" s="26"/>
    </row>
    <row r="591" spans="3:8">
      <c r="C591" s="27" t="s">
        <v>25</v>
      </c>
      <c r="D591" s="28" t="s">
        <v>183</v>
      </c>
      <c r="E591" s="29"/>
      <c r="F591" s="30" t="s">
        <v>27</v>
      </c>
      <c r="G591" s="31" t="s">
        <v>128</v>
      </c>
      <c r="H591" s="32">
        <v>6549.93</v>
      </c>
    </row>
    <row r="592" spans="3:8">
      <c r="C592" s="33" t="s">
        <v>29</v>
      </c>
      <c r="D592" s="33" t="s">
        <v>30</v>
      </c>
      <c r="E592" s="33" t="s">
        <v>31</v>
      </c>
      <c r="F592" s="34" t="s">
        <v>32</v>
      </c>
      <c r="G592" s="35" t="s">
        <v>33</v>
      </c>
      <c r="H592" s="35" t="s">
        <v>34</v>
      </c>
    </row>
    <row r="593" spans="3:8">
      <c r="C593" s="33"/>
      <c r="D593" s="33"/>
      <c r="E593" s="33"/>
      <c r="F593" s="34"/>
      <c r="G593" s="36"/>
      <c r="H593" s="36"/>
    </row>
    <row r="594" spans="3:8">
      <c r="C594" s="37" t="s">
        <v>35</v>
      </c>
      <c r="D594" s="38" t="s">
        <v>36</v>
      </c>
      <c r="E594" s="39"/>
      <c r="F594" s="40"/>
      <c r="G594" s="41"/>
      <c r="H594" s="42"/>
    </row>
    <row r="595" spans="3:8">
      <c r="C595" s="39" t="s">
        <v>49</v>
      </c>
      <c r="D595" s="71" t="s">
        <v>158</v>
      </c>
      <c r="E595" s="39" t="s">
        <v>131</v>
      </c>
      <c r="F595" s="60">
        <v>10.216876859741699</v>
      </c>
      <c r="G595" s="46">
        <v>90.031958516899607</v>
      </c>
      <c r="H595" s="47">
        <v>919.84543360853604</v>
      </c>
    </row>
    <row r="596" spans="3:8">
      <c r="C596" s="39" t="s">
        <v>49</v>
      </c>
      <c r="D596" s="65" t="s">
        <v>50</v>
      </c>
      <c r="E596" s="39" t="s">
        <v>131</v>
      </c>
      <c r="F596" s="60">
        <v>8.6639814990290294</v>
      </c>
      <c r="G596" s="46">
        <v>79.456006436582399</v>
      </c>
      <c r="H596" s="47">
        <v>688.40536975328098</v>
      </c>
    </row>
    <row r="597" spans="3:8">
      <c r="C597" s="39" t="s">
        <v>49</v>
      </c>
      <c r="D597" s="65" t="s">
        <v>159</v>
      </c>
      <c r="E597" s="108" t="s">
        <v>131</v>
      </c>
      <c r="F597" s="113">
        <v>3.4121987106697298</v>
      </c>
      <c r="G597" s="46">
        <v>89.242314887296502</v>
      </c>
      <c r="H597" s="47">
        <v>304.51251179561501</v>
      </c>
    </row>
    <row r="598" spans="3:8">
      <c r="C598" s="39" t="s">
        <v>49</v>
      </c>
      <c r="D598" s="65" t="s">
        <v>52</v>
      </c>
      <c r="E598" s="108" t="s">
        <v>131</v>
      </c>
      <c r="F598" s="60">
        <v>9.2260602698387899</v>
      </c>
      <c r="G598" s="46">
        <v>45.411750977784699</v>
      </c>
      <c r="H598" s="47">
        <v>418.97155147995198</v>
      </c>
    </row>
    <row r="599" spans="3:8">
      <c r="C599" s="39" t="s">
        <v>49</v>
      </c>
      <c r="D599" s="65" t="s">
        <v>160</v>
      </c>
      <c r="E599" s="39" t="s">
        <v>131</v>
      </c>
      <c r="F599" s="60">
        <v>7.0583943147396901</v>
      </c>
      <c r="G599" s="46">
        <v>74.717676591289106</v>
      </c>
      <c r="H599" s="47">
        <v>527.38682366251396</v>
      </c>
    </row>
    <row r="600" spans="3:8">
      <c r="C600" s="39" t="s">
        <v>49</v>
      </c>
      <c r="D600" s="65" t="s">
        <v>133</v>
      </c>
      <c r="E600" s="39" t="s">
        <v>131</v>
      </c>
      <c r="F600" s="60">
        <v>1.1224708356253501</v>
      </c>
      <c r="G600" s="46">
        <v>52.035429693461801</v>
      </c>
      <c r="H600" s="47">
        <v>58.408252250144201</v>
      </c>
    </row>
    <row r="601" spans="3:8">
      <c r="C601" s="43" t="s">
        <v>89</v>
      </c>
      <c r="D601" s="65" t="s">
        <v>98</v>
      </c>
      <c r="E601" s="39" t="s">
        <v>131</v>
      </c>
      <c r="F601" s="75">
        <v>2.5003611846857701</v>
      </c>
      <c r="G601" s="46">
        <v>80.922620787121204</v>
      </c>
      <c r="H601" s="47">
        <v>202.33577997916399</v>
      </c>
    </row>
    <row r="602" spans="3:8">
      <c r="C602" s="51" t="s">
        <v>37</v>
      </c>
      <c r="D602" s="51"/>
      <c r="E602" s="51"/>
      <c r="F602" s="52"/>
      <c r="G602" s="51"/>
      <c r="H602" s="53">
        <v>3119.86572252921</v>
      </c>
    </row>
    <row r="603" spans="3:8">
      <c r="C603" s="54" t="s">
        <v>38</v>
      </c>
      <c r="D603" s="55" t="s">
        <v>39</v>
      </c>
      <c r="E603" s="56"/>
      <c r="F603" s="57"/>
      <c r="G603" s="58"/>
      <c r="H603" s="58"/>
    </row>
    <row r="604" spans="3:8">
      <c r="C604" s="39" t="s">
        <v>53</v>
      </c>
      <c r="D604" s="76" t="s">
        <v>161</v>
      </c>
      <c r="E604" s="39" t="s">
        <v>131</v>
      </c>
      <c r="F604" s="60">
        <v>1.4251413245515501</v>
      </c>
      <c r="G604" s="62">
        <v>264.062314369408</v>
      </c>
      <c r="H604" s="61">
        <v>376.32611646456701</v>
      </c>
    </row>
    <row r="605" spans="3:8">
      <c r="C605" s="39" t="s">
        <v>53</v>
      </c>
      <c r="D605" s="76" t="s">
        <v>162</v>
      </c>
      <c r="E605" s="39" t="s">
        <v>51</v>
      </c>
      <c r="F605" s="60">
        <v>0.28884026258205697</v>
      </c>
      <c r="G605" s="62">
        <v>329.95867768595002</v>
      </c>
      <c r="H605" s="61">
        <v>95.305351104038195</v>
      </c>
    </row>
    <row r="606" spans="3:8">
      <c r="C606" s="39" t="s">
        <v>53</v>
      </c>
      <c r="D606" s="76" t="s">
        <v>136</v>
      </c>
      <c r="E606" s="39" t="s">
        <v>28</v>
      </c>
      <c r="F606" s="105">
        <v>0.48749999999999999</v>
      </c>
      <c r="G606" s="62">
        <v>155.99328612645999</v>
      </c>
      <c r="H606" s="61">
        <v>76.046726986649404</v>
      </c>
    </row>
    <row r="607" spans="3:8">
      <c r="C607" s="39" t="s">
        <v>53</v>
      </c>
      <c r="D607" s="76" t="s">
        <v>165</v>
      </c>
      <c r="E607" s="39" t="s">
        <v>51</v>
      </c>
      <c r="F607" s="40">
        <v>0.28884026258205697</v>
      </c>
      <c r="G607" s="62">
        <v>506.42566941826999</v>
      </c>
      <c r="H607" s="61">
        <v>146.27612333306701</v>
      </c>
    </row>
    <row r="608" spans="3:8">
      <c r="C608" s="39" t="s">
        <v>53</v>
      </c>
      <c r="D608" s="44" t="s">
        <v>166</v>
      </c>
      <c r="E608" s="39" t="s">
        <v>51</v>
      </c>
      <c r="F608" s="40">
        <v>0.28884026258205697</v>
      </c>
      <c r="G608" s="62">
        <v>506.42566941826999</v>
      </c>
      <c r="H608" s="61">
        <v>146.27612333306701</v>
      </c>
    </row>
    <row r="609" spans="3:8">
      <c r="C609" s="39" t="s">
        <v>53</v>
      </c>
      <c r="D609" s="44" t="s">
        <v>184</v>
      </c>
      <c r="E609" s="39" t="s">
        <v>51</v>
      </c>
      <c r="F609" s="49">
        <v>6.3568504695400901E-2</v>
      </c>
      <c r="G609" s="47">
        <v>1661.59044995409</v>
      </c>
      <c r="H609" s="61">
        <v>105.62482031974</v>
      </c>
    </row>
    <row r="610" spans="3:8">
      <c r="C610" s="39" t="s">
        <v>53</v>
      </c>
      <c r="D610" s="114" t="s">
        <v>185</v>
      </c>
      <c r="E610" s="88" t="s">
        <v>28</v>
      </c>
      <c r="F610" s="75">
        <v>1</v>
      </c>
      <c r="G610" s="90">
        <v>544.18492655911405</v>
      </c>
      <c r="H610" s="61">
        <v>544.18492655911405</v>
      </c>
    </row>
    <row r="611" spans="3:8">
      <c r="C611" s="51" t="s">
        <v>40</v>
      </c>
      <c r="D611" s="51"/>
      <c r="E611" s="51"/>
      <c r="F611" s="52"/>
      <c r="G611" s="51"/>
      <c r="H611" s="53">
        <v>1490.0401881002399</v>
      </c>
    </row>
    <row r="612" spans="3:8">
      <c r="C612" s="54" t="s">
        <v>41</v>
      </c>
      <c r="D612" s="55" t="s">
        <v>42</v>
      </c>
      <c r="E612" s="56"/>
      <c r="F612" s="63"/>
      <c r="G612" s="64"/>
      <c r="H612" s="64">
        <v>0</v>
      </c>
    </row>
    <row r="613" spans="3:8">
      <c r="C613" s="45" t="s">
        <v>77</v>
      </c>
      <c r="D613" s="65" t="s">
        <v>167</v>
      </c>
      <c r="E613" s="108" t="s">
        <v>55</v>
      </c>
      <c r="F613" s="60">
        <v>0.65</v>
      </c>
      <c r="G613" s="46">
        <v>50</v>
      </c>
      <c r="H613" s="47">
        <v>32.5</v>
      </c>
    </row>
    <row r="614" spans="3:8">
      <c r="C614" s="45" t="s">
        <v>77</v>
      </c>
      <c r="D614" s="65" t="s">
        <v>168</v>
      </c>
      <c r="E614" s="108" t="s">
        <v>55</v>
      </c>
      <c r="F614" s="60">
        <v>1</v>
      </c>
      <c r="G614" s="46">
        <v>110</v>
      </c>
      <c r="H614" s="47">
        <v>110</v>
      </c>
    </row>
    <row r="615" spans="3:8">
      <c r="C615" s="45" t="s">
        <v>77</v>
      </c>
      <c r="D615" s="65" t="s">
        <v>169</v>
      </c>
      <c r="E615" s="45" t="s">
        <v>154</v>
      </c>
      <c r="F615" s="40">
        <v>15</v>
      </c>
      <c r="G615" s="50">
        <v>9.5</v>
      </c>
      <c r="H615" s="47">
        <v>142.5</v>
      </c>
    </row>
    <row r="616" spans="3:8">
      <c r="C616" s="45" t="s">
        <v>77</v>
      </c>
      <c r="D616" s="65" t="s">
        <v>170</v>
      </c>
      <c r="E616" s="45" t="s">
        <v>171</v>
      </c>
      <c r="F616" s="40">
        <v>2.2999999999999998</v>
      </c>
      <c r="G616" s="50">
        <v>90</v>
      </c>
      <c r="H616" s="61">
        <v>207</v>
      </c>
    </row>
    <row r="617" spans="3:8">
      <c r="C617" s="45" t="s">
        <v>77</v>
      </c>
      <c r="D617" s="65" t="s">
        <v>172</v>
      </c>
      <c r="E617" s="45" t="s">
        <v>28</v>
      </c>
      <c r="F617" s="40">
        <v>1</v>
      </c>
      <c r="G617" s="50">
        <v>153.37506452415499</v>
      </c>
      <c r="H617" s="61">
        <v>153.37506452415499</v>
      </c>
    </row>
    <row r="618" spans="3:8">
      <c r="C618" s="45"/>
      <c r="D618" s="65"/>
      <c r="E618" s="45"/>
      <c r="F618" s="40"/>
      <c r="G618" s="50">
        <v>0</v>
      </c>
      <c r="H618" s="61">
        <v>0</v>
      </c>
    </row>
    <row r="619" spans="3:8">
      <c r="C619" s="45"/>
      <c r="D619" s="65"/>
      <c r="E619" s="45"/>
      <c r="F619" s="40"/>
      <c r="G619" s="50">
        <v>0</v>
      </c>
      <c r="H619" s="61">
        <v>0</v>
      </c>
    </row>
    <row r="620" spans="3:8">
      <c r="C620" s="45"/>
      <c r="D620" s="65"/>
      <c r="E620" s="45"/>
      <c r="F620" s="40"/>
      <c r="G620" s="50">
        <v>0</v>
      </c>
      <c r="H620" s="61">
        <v>0</v>
      </c>
    </row>
    <row r="621" spans="3:8">
      <c r="C621" s="51" t="s">
        <v>43</v>
      </c>
      <c r="D621" s="51"/>
      <c r="E621" s="51"/>
      <c r="F621" s="52"/>
      <c r="G621" s="51"/>
      <c r="H621" s="53">
        <v>645.37506452415505</v>
      </c>
    </row>
    <row r="622" spans="3:8" ht="15.75">
      <c r="C622" s="66" t="s">
        <v>44</v>
      </c>
      <c r="D622" s="67"/>
      <c r="E622" s="67"/>
      <c r="F622" s="68"/>
      <c r="G622" s="69"/>
      <c r="H622" s="53">
        <v>5255.2809751535997</v>
      </c>
    </row>
    <row r="623" spans="3:8" ht="15.75">
      <c r="C623" s="66" t="s">
        <v>45</v>
      </c>
      <c r="D623" s="67"/>
      <c r="E623" s="67"/>
      <c r="F623" s="68"/>
      <c r="G623" s="69"/>
      <c r="H623" s="70">
        <v>1294.6459845387101</v>
      </c>
    </row>
    <row r="624" spans="3:8" ht="15.75">
      <c r="C624" s="66" t="s">
        <v>46</v>
      </c>
      <c r="D624" s="67"/>
      <c r="E624" s="67"/>
      <c r="F624" s="68"/>
      <c r="G624" s="69"/>
      <c r="H624" s="53">
        <v>6549.93</v>
      </c>
    </row>
    <row r="625" spans="3:8" ht="15.75">
      <c r="C625" s="110"/>
      <c r="D625" s="110"/>
      <c r="E625" s="110"/>
      <c r="F625" s="111"/>
      <c r="G625" s="110"/>
      <c r="H625" s="112"/>
    </row>
    <row r="626" spans="3:8" ht="45">
      <c r="C626" s="22" t="s">
        <v>23</v>
      </c>
      <c r="D626" s="23" t="s">
        <v>186</v>
      </c>
      <c r="E626" s="23"/>
      <c r="F626" s="24"/>
      <c r="G626" s="25"/>
      <c r="H626" s="26"/>
    </row>
    <row r="627" spans="3:8">
      <c r="C627" s="27" t="s">
        <v>25</v>
      </c>
      <c r="D627" s="28" t="s">
        <v>187</v>
      </c>
      <c r="E627" s="29"/>
      <c r="F627" s="30" t="s">
        <v>27</v>
      </c>
      <c r="G627" s="31" t="s">
        <v>128</v>
      </c>
      <c r="H627" s="32">
        <v>2857.37</v>
      </c>
    </row>
    <row r="628" spans="3:8">
      <c r="C628" s="33" t="s">
        <v>29</v>
      </c>
      <c r="D628" s="33" t="s">
        <v>30</v>
      </c>
      <c r="E628" s="33" t="s">
        <v>31</v>
      </c>
      <c r="F628" s="34" t="s">
        <v>32</v>
      </c>
      <c r="G628" s="35" t="s">
        <v>33</v>
      </c>
      <c r="H628" s="35" t="s">
        <v>34</v>
      </c>
    </row>
    <row r="629" spans="3:8">
      <c r="C629" s="33"/>
      <c r="D629" s="33"/>
      <c r="E629" s="33"/>
      <c r="F629" s="34"/>
      <c r="G629" s="36"/>
      <c r="H629" s="36"/>
    </row>
    <row r="630" spans="3:8">
      <c r="C630" s="37" t="s">
        <v>35</v>
      </c>
      <c r="D630" s="38" t="s">
        <v>36</v>
      </c>
      <c r="E630" s="39"/>
      <c r="F630" s="40"/>
      <c r="G630" s="41"/>
      <c r="H630" s="42"/>
    </row>
    <row r="631" spans="3:8">
      <c r="C631" s="39" t="s">
        <v>49</v>
      </c>
      <c r="D631" s="71" t="s">
        <v>158</v>
      </c>
      <c r="E631" s="39" t="s">
        <v>131</v>
      </c>
      <c r="F631" s="60">
        <v>3.4056256199138901</v>
      </c>
      <c r="G631" s="46">
        <v>90.031958516899607</v>
      </c>
      <c r="H631" s="47">
        <v>306.61514453617798</v>
      </c>
    </row>
    <row r="632" spans="3:8">
      <c r="C632" s="39" t="s">
        <v>49</v>
      </c>
      <c r="D632" s="65" t="s">
        <v>50</v>
      </c>
      <c r="E632" s="39" t="s">
        <v>131</v>
      </c>
      <c r="F632" s="60">
        <v>2.8879938330096802</v>
      </c>
      <c r="G632" s="46">
        <v>79.456006436582399</v>
      </c>
      <c r="H632" s="47">
        <v>229.468456584427</v>
      </c>
    </row>
    <row r="633" spans="3:8">
      <c r="C633" s="39" t="s">
        <v>49</v>
      </c>
      <c r="D633" s="65" t="s">
        <v>159</v>
      </c>
      <c r="E633" s="108" t="s">
        <v>131</v>
      </c>
      <c r="F633" s="113">
        <v>1.13739957022324</v>
      </c>
      <c r="G633" s="46">
        <v>89.242314887296502</v>
      </c>
      <c r="H633" s="47">
        <v>101.504170598538</v>
      </c>
    </row>
    <row r="634" spans="3:8">
      <c r="C634" s="39" t="s">
        <v>49</v>
      </c>
      <c r="D634" s="65" t="s">
        <v>52</v>
      </c>
      <c r="E634" s="108" t="s">
        <v>131</v>
      </c>
      <c r="F634" s="60">
        <v>3.0753534232795801</v>
      </c>
      <c r="G634" s="46">
        <v>45.411750977784699</v>
      </c>
      <c r="H634" s="47">
        <v>139.65718382665</v>
      </c>
    </row>
    <row r="635" spans="3:8">
      <c r="C635" s="39" t="s">
        <v>49</v>
      </c>
      <c r="D635" s="65" t="s">
        <v>160</v>
      </c>
      <c r="E635" s="39" t="s">
        <v>131</v>
      </c>
      <c r="F635" s="60">
        <v>2.35279810491323</v>
      </c>
      <c r="G635" s="46">
        <v>74.717676591289106</v>
      </c>
      <c r="H635" s="47">
        <v>175.79560788750501</v>
      </c>
    </row>
    <row r="636" spans="3:8">
      <c r="C636" s="39" t="s">
        <v>49</v>
      </c>
      <c r="D636" s="65" t="s">
        <v>133</v>
      </c>
      <c r="E636" s="39" t="s">
        <v>131</v>
      </c>
      <c r="F636" s="60">
        <v>0.374156945208449</v>
      </c>
      <c r="G636" s="46">
        <v>52.035429693461801</v>
      </c>
      <c r="H636" s="47">
        <v>19.469417416714698</v>
      </c>
    </row>
    <row r="637" spans="3:8">
      <c r="C637" s="77" t="s">
        <v>89</v>
      </c>
      <c r="D637" s="78" t="s">
        <v>111</v>
      </c>
      <c r="E637" s="77" t="s">
        <v>79</v>
      </c>
      <c r="F637" s="79">
        <v>6.3636363636363604E-3</v>
      </c>
      <c r="G637" s="80">
        <v>10243.3313016132</v>
      </c>
      <c r="H637" s="81">
        <v>65.184835555720298</v>
      </c>
    </row>
    <row r="638" spans="3:8">
      <c r="C638" s="77" t="s">
        <v>89</v>
      </c>
      <c r="D638" s="78" t="s">
        <v>188</v>
      </c>
      <c r="E638" s="77" t="s">
        <v>79</v>
      </c>
      <c r="F638" s="79">
        <v>6.3636363636363604E-3</v>
      </c>
      <c r="G638" s="80">
        <v>6735.9354066092101</v>
      </c>
      <c r="H638" s="81">
        <v>42.865043496604002</v>
      </c>
    </row>
    <row r="639" spans="3:8">
      <c r="C639" s="51" t="s">
        <v>37</v>
      </c>
      <c r="D639" s="51"/>
      <c r="E639" s="51"/>
      <c r="F639" s="52"/>
      <c r="G639" s="51"/>
      <c r="H639" s="53">
        <v>1080.5598599023399</v>
      </c>
    </row>
    <row r="640" spans="3:8">
      <c r="C640" s="54" t="s">
        <v>38</v>
      </c>
      <c r="D640" s="55" t="s">
        <v>39</v>
      </c>
      <c r="E640" s="56"/>
      <c r="F640" s="57"/>
      <c r="G640" s="58"/>
      <c r="H640" s="58"/>
    </row>
    <row r="641" spans="3:8">
      <c r="C641" s="39" t="s">
        <v>53</v>
      </c>
      <c r="D641" s="76" t="s">
        <v>161</v>
      </c>
      <c r="E641" s="39" t="s">
        <v>131</v>
      </c>
      <c r="F641" s="60">
        <v>0.51742611131411698</v>
      </c>
      <c r="G641" s="62">
        <v>264.062314369408</v>
      </c>
      <c r="H641" s="61">
        <v>136.632736468769</v>
      </c>
    </row>
    <row r="642" spans="3:8">
      <c r="C642" s="39" t="s">
        <v>53</v>
      </c>
      <c r="D642" s="76" t="s">
        <v>162</v>
      </c>
      <c r="E642" s="39" t="s">
        <v>51</v>
      </c>
      <c r="F642" s="60">
        <v>0.28884026258205697</v>
      </c>
      <c r="G642" s="62">
        <v>329.95867768595002</v>
      </c>
      <c r="H642" s="61">
        <v>95.305351104038195</v>
      </c>
    </row>
    <row r="643" spans="3:8">
      <c r="C643" s="39" t="s">
        <v>53</v>
      </c>
      <c r="D643" s="76" t="s">
        <v>136</v>
      </c>
      <c r="E643" s="39" t="s">
        <v>28</v>
      </c>
      <c r="F643" s="105">
        <v>0.48749999999999999</v>
      </c>
      <c r="G643" s="62">
        <v>54.027992995116897</v>
      </c>
      <c r="H643" s="61">
        <v>26.338646585119498</v>
      </c>
    </row>
    <row r="644" spans="3:8">
      <c r="C644" s="77" t="s">
        <v>53</v>
      </c>
      <c r="D644" s="85" t="s">
        <v>164</v>
      </c>
      <c r="E644" s="77" t="s">
        <v>51</v>
      </c>
      <c r="F644" s="86">
        <v>0.483652681175679</v>
      </c>
      <c r="G644" s="81">
        <v>349.827272727273</v>
      </c>
      <c r="H644" s="87">
        <v>169.19489840292101</v>
      </c>
    </row>
    <row r="645" spans="3:8">
      <c r="C645" s="39" t="s">
        <v>53</v>
      </c>
      <c r="D645" s="76" t="s">
        <v>165</v>
      </c>
      <c r="E645" s="39" t="s">
        <v>51</v>
      </c>
      <c r="F645" s="40">
        <v>0.28884026258205697</v>
      </c>
      <c r="G645" s="62">
        <v>506.42566941826999</v>
      </c>
      <c r="H645" s="61">
        <v>146.27612333306701</v>
      </c>
    </row>
    <row r="646" spans="3:8">
      <c r="C646" s="39" t="s">
        <v>53</v>
      </c>
      <c r="D646" s="44" t="s">
        <v>166</v>
      </c>
      <c r="E646" s="39" t="s">
        <v>51</v>
      </c>
      <c r="F646" s="40">
        <v>0.28884026258205697</v>
      </c>
      <c r="G646" s="62">
        <v>506.42566941826999</v>
      </c>
      <c r="H646" s="61">
        <v>146.27612333306701</v>
      </c>
    </row>
    <row r="647" spans="3:8">
      <c r="C647" s="39"/>
      <c r="D647" s="44"/>
      <c r="E647" s="39"/>
      <c r="F647" s="49"/>
      <c r="G647" s="47">
        <v>0</v>
      </c>
      <c r="H647" s="61">
        <v>0</v>
      </c>
    </row>
    <row r="648" spans="3:8">
      <c r="C648" s="51" t="s">
        <v>40</v>
      </c>
      <c r="D648" s="51"/>
      <c r="E648" s="51"/>
      <c r="F648" s="52"/>
      <c r="G648" s="51"/>
      <c r="H648" s="53">
        <v>720.02387922698097</v>
      </c>
    </row>
    <row r="649" spans="3:8">
      <c r="C649" s="54" t="s">
        <v>41</v>
      </c>
      <c r="D649" s="55" t="s">
        <v>42</v>
      </c>
      <c r="E649" s="56"/>
      <c r="F649" s="63"/>
      <c r="G649" s="64"/>
      <c r="H649" s="64">
        <v>0</v>
      </c>
    </row>
    <row r="650" spans="3:8">
      <c r="C650" s="45" t="s">
        <v>77</v>
      </c>
      <c r="D650" s="65" t="s">
        <v>167</v>
      </c>
      <c r="E650" s="108" t="s">
        <v>55</v>
      </c>
      <c r="F650" s="60">
        <v>0.65</v>
      </c>
      <c r="G650" s="46">
        <v>50</v>
      </c>
      <c r="H650" s="47">
        <v>32.5</v>
      </c>
    </row>
    <row r="651" spans="3:8">
      <c r="C651" s="45" t="s">
        <v>77</v>
      </c>
      <c r="D651" s="65" t="s">
        <v>168</v>
      </c>
      <c r="E651" s="108" t="s">
        <v>55</v>
      </c>
      <c r="F651" s="60">
        <v>1</v>
      </c>
      <c r="G651" s="46">
        <v>110</v>
      </c>
      <c r="H651" s="47">
        <v>110</v>
      </c>
    </row>
    <row r="652" spans="3:8">
      <c r="C652" s="45" t="s">
        <v>77</v>
      </c>
      <c r="D652" s="65" t="s">
        <v>169</v>
      </c>
      <c r="E652" s="45" t="s">
        <v>154</v>
      </c>
      <c r="F652" s="40">
        <v>15</v>
      </c>
      <c r="G652" s="50">
        <v>9.5</v>
      </c>
      <c r="H652" s="47">
        <v>142.5</v>
      </c>
    </row>
    <row r="653" spans="3:8">
      <c r="C653" s="45" t="s">
        <v>77</v>
      </c>
      <c r="D653" s="65" t="s">
        <v>170</v>
      </c>
      <c r="E653" s="45" t="s">
        <v>171</v>
      </c>
      <c r="F653" s="40">
        <v>2.2999999999999998</v>
      </c>
      <c r="G653" s="50">
        <v>90</v>
      </c>
      <c r="H653" s="61">
        <v>207</v>
      </c>
    </row>
    <row r="654" spans="3:8">
      <c r="C654" s="45"/>
      <c r="D654" s="65"/>
      <c r="E654" s="45"/>
      <c r="F654" s="40"/>
      <c r="G654" s="50"/>
      <c r="H654" s="61">
        <v>0</v>
      </c>
    </row>
    <row r="655" spans="3:8">
      <c r="C655" s="45"/>
      <c r="D655" s="65"/>
      <c r="E655" s="45"/>
      <c r="F655" s="40"/>
      <c r="G655" s="50">
        <v>0</v>
      </c>
      <c r="H655" s="61">
        <v>0</v>
      </c>
    </row>
    <row r="656" spans="3:8">
      <c r="C656" s="51" t="s">
        <v>43</v>
      </c>
      <c r="D656" s="51"/>
      <c r="E656" s="51"/>
      <c r="F656" s="52"/>
      <c r="G656" s="51"/>
      <c r="H656" s="53">
        <v>492</v>
      </c>
    </row>
    <row r="657" spans="3:8" ht="15.75">
      <c r="C657" s="66" t="s">
        <v>44</v>
      </c>
      <c r="D657" s="67"/>
      <c r="E657" s="67"/>
      <c r="F657" s="68"/>
      <c r="G657" s="69"/>
      <c r="H657" s="53">
        <v>2292.5837391293198</v>
      </c>
    </row>
    <row r="658" spans="3:8" ht="15.75">
      <c r="C658" s="66" t="s">
        <v>45</v>
      </c>
      <c r="D658" s="67"/>
      <c r="E658" s="67"/>
      <c r="F658" s="68"/>
      <c r="G658" s="69"/>
      <c r="H658" s="70">
        <v>564.78128307797499</v>
      </c>
    </row>
    <row r="659" spans="3:8" ht="15.75">
      <c r="C659" s="66" t="s">
        <v>46</v>
      </c>
      <c r="D659" s="67"/>
      <c r="E659" s="67"/>
      <c r="F659" s="68"/>
      <c r="G659" s="69"/>
      <c r="H659" s="53">
        <v>2857.37</v>
      </c>
    </row>
    <row r="660" spans="3:8" ht="15.75">
      <c r="C660" s="110"/>
      <c r="D660" s="110"/>
      <c r="E660" s="110"/>
      <c r="F660" s="111"/>
      <c r="G660" s="110"/>
      <c r="H660" s="112"/>
    </row>
    <row r="661" spans="3:8" ht="45">
      <c r="C661" s="22" t="s">
        <v>23</v>
      </c>
      <c r="D661" s="23" t="s">
        <v>189</v>
      </c>
      <c r="E661" s="23"/>
      <c r="F661" s="24"/>
      <c r="G661" s="25"/>
      <c r="H661" s="26"/>
    </row>
    <row r="662" spans="3:8">
      <c r="C662" s="27" t="s">
        <v>25</v>
      </c>
      <c r="D662" s="28" t="s">
        <v>190</v>
      </c>
      <c r="E662" s="29"/>
      <c r="F662" s="30" t="s">
        <v>27</v>
      </c>
      <c r="G662" s="31" t="s">
        <v>128</v>
      </c>
      <c r="H662" s="32">
        <v>6110.58</v>
      </c>
    </row>
    <row r="663" spans="3:8">
      <c r="C663" s="33" t="s">
        <v>29</v>
      </c>
      <c r="D663" s="33" t="s">
        <v>30</v>
      </c>
      <c r="E663" s="33" t="s">
        <v>31</v>
      </c>
      <c r="F663" s="34" t="s">
        <v>32</v>
      </c>
      <c r="G663" s="35" t="s">
        <v>33</v>
      </c>
      <c r="H663" s="35" t="s">
        <v>34</v>
      </c>
    </row>
    <row r="664" spans="3:8">
      <c r="C664" s="33"/>
      <c r="D664" s="33"/>
      <c r="E664" s="33"/>
      <c r="F664" s="34"/>
      <c r="G664" s="36"/>
      <c r="H664" s="36"/>
    </row>
    <row r="665" spans="3:8">
      <c r="C665" s="37" t="s">
        <v>35</v>
      </c>
      <c r="D665" s="38" t="s">
        <v>36</v>
      </c>
      <c r="E665" s="39"/>
      <c r="F665" s="40"/>
      <c r="G665" s="41"/>
      <c r="H665" s="42"/>
    </row>
    <row r="666" spans="3:8">
      <c r="C666" s="39"/>
      <c r="D666" s="71"/>
      <c r="E666" s="39"/>
      <c r="F666" s="60"/>
      <c r="G666" s="46"/>
      <c r="H666" s="47">
        <v>0</v>
      </c>
    </row>
    <row r="667" spans="3:8">
      <c r="C667" s="39" t="s">
        <v>49</v>
      </c>
      <c r="D667" s="65" t="s">
        <v>191</v>
      </c>
      <c r="E667" s="39" t="s">
        <v>131</v>
      </c>
      <c r="F667" s="60">
        <v>18.372500146969401</v>
      </c>
      <c r="G667" s="46">
        <v>115.628519264609</v>
      </c>
      <c r="H667" s="47">
        <v>2124.3849871828802</v>
      </c>
    </row>
    <row r="668" spans="3:8">
      <c r="C668" s="39" t="s">
        <v>49</v>
      </c>
      <c r="D668" s="65" t="s">
        <v>192</v>
      </c>
      <c r="E668" s="39" t="s">
        <v>131</v>
      </c>
      <c r="F668" s="60">
        <v>6.1241667156564699</v>
      </c>
      <c r="G668" s="46">
        <v>57.709977237362303</v>
      </c>
      <c r="H668" s="47">
        <v>353.42552175834601</v>
      </c>
    </row>
    <row r="669" spans="3:8">
      <c r="C669" s="39" t="s">
        <v>49</v>
      </c>
      <c r="D669" s="65" t="s">
        <v>133</v>
      </c>
      <c r="E669" s="39" t="s">
        <v>131</v>
      </c>
      <c r="F669" s="60">
        <v>1.1224708356253501</v>
      </c>
      <c r="G669" s="46">
        <v>52.035429693461801</v>
      </c>
      <c r="H669" s="47">
        <v>58.408252250144201</v>
      </c>
    </row>
    <row r="670" spans="3:8">
      <c r="C670" s="39" t="s">
        <v>49</v>
      </c>
      <c r="D670" s="65" t="s">
        <v>160</v>
      </c>
      <c r="E670" s="39" t="s">
        <v>131</v>
      </c>
      <c r="F670" s="60">
        <v>7.0583943147396901</v>
      </c>
      <c r="G670" s="46">
        <v>74.717676591289106</v>
      </c>
      <c r="H670" s="47">
        <v>527.38682366251396</v>
      </c>
    </row>
    <row r="671" spans="3:8">
      <c r="C671" s="39"/>
      <c r="D671" s="65"/>
      <c r="E671" s="39"/>
      <c r="F671" s="60"/>
      <c r="G671" s="46"/>
      <c r="H671" s="47">
        <v>0</v>
      </c>
    </row>
    <row r="672" spans="3:8">
      <c r="C672" s="39"/>
      <c r="D672" s="65"/>
      <c r="E672" s="39"/>
      <c r="F672" s="60"/>
      <c r="G672" s="46"/>
      <c r="H672" s="47"/>
    </row>
    <row r="673" spans="3:8">
      <c r="C673" s="51" t="s">
        <v>37</v>
      </c>
      <c r="D673" s="51"/>
      <c r="E673" s="51"/>
      <c r="F673" s="52"/>
      <c r="G673" s="51"/>
      <c r="H673" s="53">
        <v>3063.6055848538799</v>
      </c>
    </row>
    <row r="674" spans="3:8">
      <c r="C674" s="54" t="s">
        <v>38</v>
      </c>
      <c r="D674" s="55" t="s">
        <v>39</v>
      </c>
      <c r="E674" s="56"/>
      <c r="F674" s="57"/>
      <c r="G674" s="58"/>
      <c r="H674" s="58"/>
    </row>
    <row r="675" spans="3:8">
      <c r="C675" s="39" t="s">
        <v>53</v>
      </c>
      <c r="D675" s="76" t="s">
        <v>161</v>
      </c>
      <c r="E675" s="39" t="s">
        <v>131</v>
      </c>
      <c r="F675" s="60">
        <v>1.55227833394235</v>
      </c>
      <c r="G675" s="62">
        <v>264.062314369408</v>
      </c>
      <c r="H675" s="61">
        <v>409.89820940630801</v>
      </c>
    </row>
    <row r="676" spans="3:8">
      <c r="C676" s="39" t="s">
        <v>53</v>
      </c>
      <c r="D676" s="76" t="s">
        <v>162</v>
      </c>
      <c r="E676" s="39" t="s">
        <v>51</v>
      </c>
      <c r="F676" s="60">
        <v>0.28884026258205697</v>
      </c>
      <c r="G676" s="62">
        <v>329.95867768595002</v>
      </c>
      <c r="H676" s="61">
        <v>95.305351104038195</v>
      </c>
    </row>
    <row r="677" spans="3:8">
      <c r="C677" s="39" t="s">
        <v>53</v>
      </c>
      <c r="D677" s="76" t="s">
        <v>136</v>
      </c>
      <c r="E677" s="39" t="s">
        <v>28</v>
      </c>
      <c r="F677" s="105">
        <v>0.48749999999999999</v>
      </c>
      <c r="G677" s="62">
        <v>153.18027924269401</v>
      </c>
      <c r="H677" s="61">
        <v>74.675386130813294</v>
      </c>
    </row>
    <row r="678" spans="3:8">
      <c r="C678" s="39" t="s">
        <v>53</v>
      </c>
      <c r="D678" s="76" t="s">
        <v>163</v>
      </c>
      <c r="E678" s="39" t="s">
        <v>128</v>
      </c>
      <c r="F678" s="40">
        <v>0.69118632707774796</v>
      </c>
      <c r="G678" s="62">
        <v>304.92424242424198</v>
      </c>
      <c r="H678" s="61">
        <v>210.75946715817699</v>
      </c>
    </row>
    <row r="679" spans="3:8">
      <c r="C679" s="39" t="s">
        <v>53</v>
      </c>
      <c r="D679" s="76" t="s">
        <v>164</v>
      </c>
      <c r="E679" s="39" t="s">
        <v>51</v>
      </c>
      <c r="F679" s="40">
        <v>0.35257540305779</v>
      </c>
      <c r="G679" s="47">
        <v>349.827272727273</v>
      </c>
      <c r="H679" s="61">
        <v>123.34049168242601</v>
      </c>
    </row>
    <row r="680" spans="3:8">
      <c r="C680" s="39" t="s">
        <v>53</v>
      </c>
      <c r="D680" s="76" t="s">
        <v>165</v>
      </c>
      <c r="E680" s="39" t="s">
        <v>51</v>
      </c>
      <c r="F680" s="40">
        <v>0.28884026258205697</v>
      </c>
      <c r="G680" s="62">
        <v>506.42566941826999</v>
      </c>
      <c r="H680" s="61">
        <v>146.27612333306701</v>
      </c>
    </row>
    <row r="681" spans="3:8">
      <c r="C681" s="39" t="s">
        <v>53</v>
      </c>
      <c r="D681" s="44" t="s">
        <v>166</v>
      </c>
      <c r="E681" s="39" t="s">
        <v>51</v>
      </c>
      <c r="F681" s="40">
        <v>0.28884026258205697</v>
      </c>
      <c r="G681" s="62">
        <v>506.42566941826999</v>
      </c>
      <c r="H681" s="61">
        <v>146.27612333306701</v>
      </c>
    </row>
    <row r="682" spans="3:8">
      <c r="C682" s="51" t="s">
        <v>40</v>
      </c>
      <c r="D682" s="51"/>
      <c r="E682" s="51"/>
      <c r="F682" s="52"/>
      <c r="G682" s="51"/>
      <c r="H682" s="53">
        <v>1206.5311521479</v>
      </c>
    </row>
    <row r="683" spans="3:8">
      <c r="C683" s="54" t="s">
        <v>41</v>
      </c>
      <c r="D683" s="55" t="s">
        <v>42</v>
      </c>
      <c r="E683" s="56"/>
      <c r="F683" s="63"/>
      <c r="G683" s="64"/>
      <c r="H683" s="64">
        <v>0</v>
      </c>
    </row>
    <row r="684" spans="3:8">
      <c r="C684" s="45" t="s">
        <v>77</v>
      </c>
      <c r="D684" s="65" t="s">
        <v>167</v>
      </c>
      <c r="E684" s="108" t="s">
        <v>55</v>
      </c>
      <c r="F684" s="60">
        <v>0.65</v>
      </c>
      <c r="G684" s="46">
        <v>50</v>
      </c>
      <c r="H684" s="47">
        <v>32.5</v>
      </c>
    </row>
    <row r="685" spans="3:8">
      <c r="C685" s="45" t="s">
        <v>77</v>
      </c>
      <c r="D685" s="65" t="s">
        <v>168</v>
      </c>
      <c r="E685" s="108" t="s">
        <v>55</v>
      </c>
      <c r="F685" s="60">
        <v>1</v>
      </c>
      <c r="G685" s="46">
        <v>110</v>
      </c>
      <c r="H685" s="47">
        <v>110</v>
      </c>
    </row>
    <row r="686" spans="3:8">
      <c r="C686" s="45" t="s">
        <v>77</v>
      </c>
      <c r="D686" s="65" t="s">
        <v>169</v>
      </c>
      <c r="E686" s="45" t="s">
        <v>154</v>
      </c>
      <c r="F686" s="40">
        <v>15</v>
      </c>
      <c r="G686" s="50">
        <v>9.5</v>
      </c>
      <c r="H686" s="61">
        <v>142.5</v>
      </c>
    </row>
    <row r="687" spans="3:8">
      <c r="C687" s="45" t="s">
        <v>77</v>
      </c>
      <c r="D687" s="65" t="s">
        <v>170</v>
      </c>
      <c r="E687" s="45" t="s">
        <v>171</v>
      </c>
      <c r="F687" s="40">
        <v>2.2999999999999998</v>
      </c>
      <c r="G687" s="50">
        <v>90</v>
      </c>
      <c r="H687" s="61">
        <v>207</v>
      </c>
    </row>
    <row r="688" spans="3:8">
      <c r="C688" s="45" t="s">
        <v>77</v>
      </c>
      <c r="D688" s="65" t="s">
        <v>172</v>
      </c>
      <c r="E688" s="45" t="s">
        <v>28</v>
      </c>
      <c r="F688" s="40">
        <v>1</v>
      </c>
      <c r="G688" s="50">
        <v>30.6750129048311</v>
      </c>
      <c r="H688" s="61">
        <v>30.6750129048311</v>
      </c>
    </row>
    <row r="689" spans="3:8">
      <c r="C689" s="45" t="s">
        <v>77</v>
      </c>
      <c r="D689" s="65" t="s">
        <v>173</v>
      </c>
      <c r="E689" s="45" t="s">
        <v>28</v>
      </c>
      <c r="F689" s="40">
        <v>0.5</v>
      </c>
      <c r="G689" s="50">
        <v>219.92292225201101</v>
      </c>
      <c r="H689" s="61">
        <v>109.96146112600501</v>
      </c>
    </row>
    <row r="690" spans="3:8">
      <c r="C690" s="45"/>
      <c r="D690" s="65"/>
      <c r="E690" s="45"/>
      <c r="F690" s="40"/>
      <c r="G690" s="50"/>
      <c r="H690" s="61">
        <v>0</v>
      </c>
    </row>
    <row r="691" spans="3:8">
      <c r="C691" s="45"/>
      <c r="D691" s="65"/>
      <c r="E691" s="45"/>
      <c r="F691" s="40"/>
      <c r="G691" s="50"/>
      <c r="H691" s="61">
        <v>0</v>
      </c>
    </row>
    <row r="692" spans="3:8">
      <c r="C692" s="51" t="s">
        <v>43</v>
      </c>
      <c r="D692" s="51"/>
      <c r="E692" s="51"/>
      <c r="F692" s="52"/>
      <c r="G692" s="51"/>
      <c r="H692" s="53">
        <v>632.63647403083598</v>
      </c>
    </row>
    <row r="693" spans="3:8" ht="15.75">
      <c r="C693" s="66" t="s">
        <v>44</v>
      </c>
      <c r="D693" s="67"/>
      <c r="E693" s="67"/>
      <c r="F693" s="68"/>
      <c r="G693" s="69"/>
      <c r="H693" s="53">
        <v>4902.7732110326097</v>
      </c>
    </row>
    <row r="694" spans="3:8" ht="15.75">
      <c r="C694" s="66" t="s">
        <v>45</v>
      </c>
      <c r="D694" s="67"/>
      <c r="E694" s="67"/>
      <c r="F694" s="68"/>
      <c r="G694" s="69"/>
      <c r="H694" s="70">
        <v>1207.8051926770299</v>
      </c>
    </row>
    <row r="695" spans="3:8" ht="15.75">
      <c r="C695" s="66" t="s">
        <v>46</v>
      </c>
      <c r="D695" s="67"/>
      <c r="E695" s="67"/>
      <c r="F695" s="68"/>
      <c r="G695" s="69"/>
      <c r="H695" s="53">
        <v>6110.58</v>
      </c>
    </row>
    <row r="696" spans="3:8" ht="15.75">
      <c r="C696" s="110"/>
      <c r="D696" s="110"/>
      <c r="E696" s="110"/>
      <c r="F696" s="111"/>
      <c r="G696" s="110"/>
      <c r="H696" s="112"/>
    </row>
    <row r="697" spans="3:8" ht="30">
      <c r="C697" s="22" t="s">
        <v>23</v>
      </c>
      <c r="D697" s="23" t="s">
        <v>193</v>
      </c>
      <c r="E697" s="23"/>
      <c r="F697" s="24"/>
      <c r="G697" s="25"/>
      <c r="H697" s="26"/>
    </row>
    <row r="698" spans="3:8">
      <c r="C698" s="27" t="s">
        <v>25</v>
      </c>
      <c r="D698" s="28" t="s">
        <v>194</v>
      </c>
      <c r="E698" s="29"/>
      <c r="F698" s="30" t="s">
        <v>27</v>
      </c>
      <c r="G698" s="31" t="s">
        <v>128</v>
      </c>
      <c r="H698" s="32">
        <v>6110.58</v>
      </c>
    </row>
    <row r="699" spans="3:8">
      <c r="C699" s="33" t="s">
        <v>29</v>
      </c>
      <c r="D699" s="33" t="s">
        <v>30</v>
      </c>
      <c r="E699" s="33" t="s">
        <v>31</v>
      </c>
      <c r="F699" s="34" t="s">
        <v>32</v>
      </c>
      <c r="G699" s="35" t="s">
        <v>33</v>
      </c>
      <c r="H699" s="35" t="s">
        <v>34</v>
      </c>
    </row>
    <row r="700" spans="3:8">
      <c r="C700" s="33"/>
      <c r="D700" s="33"/>
      <c r="E700" s="33"/>
      <c r="F700" s="34"/>
      <c r="G700" s="36"/>
      <c r="H700" s="36"/>
    </row>
    <row r="701" spans="3:8">
      <c r="C701" s="37" t="s">
        <v>35</v>
      </c>
      <c r="D701" s="38" t="s">
        <v>36</v>
      </c>
      <c r="E701" s="39"/>
      <c r="F701" s="40"/>
      <c r="G701" s="41"/>
      <c r="H701" s="42"/>
    </row>
    <row r="702" spans="3:8">
      <c r="C702" s="39"/>
      <c r="D702" s="71"/>
      <c r="E702" s="39"/>
      <c r="F702" s="60"/>
      <c r="G702" s="46"/>
      <c r="H702" s="47">
        <v>0</v>
      </c>
    </row>
    <row r="703" spans="3:8">
      <c r="C703" s="39" t="s">
        <v>49</v>
      </c>
      <c r="D703" s="65" t="s">
        <v>191</v>
      </c>
      <c r="E703" s="39" t="s">
        <v>131</v>
      </c>
      <c r="F703" s="60">
        <v>18.372500146969401</v>
      </c>
      <c r="G703" s="46">
        <v>115.628519264609</v>
      </c>
      <c r="H703" s="47">
        <v>2124.3849871828802</v>
      </c>
    </row>
    <row r="704" spans="3:8">
      <c r="C704" s="39" t="s">
        <v>49</v>
      </c>
      <c r="D704" s="65" t="s">
        <v>192</v>
      </c>
      <c r="E704" s="39" t="s">
        <v>131</v>
      </c>
      <c r="F704" s="60">
        <v>6.1241667156564699</v>
      </c>
      <c r="G704" s="46">
        <v>57.709977237362303</v>
      </c>
      <c r="H704" s="47">
        <v>353.42552175834601</v>
      </c>
    </row>
    <row r="705" spans="3:8">
      <c r="C705" s="39" t="s">
        <v>49</v>
      </c>
      <c r="D705" s="65" t="s">
        <v>133</v>
      </c>
      <c r="E705" s="39" t="s">
        <v>131</v>
      </c>
      <c r="F705" s="60">
        <v>1.1224708356253501</v>
      </c>
      <c r="G705" s="46">
        <v>52.035429693461801</v>
      </c>
      <c r="H705" s="47">
        <v>58.408252250144201</v>
      </c>
    </row>
    <row r="706" spans="3:8">
      <c r="C706" s="39" t="s">
        <v>49</v>
      </c>
      <c r="D706" s="65" t="s">
        <v>160</v>
      </c>
      <c r="E706" s="39" t="s">
        <v>131</v>
      </c>
      <c r="F706" s="60">
        <v>7.0583943147396901</v>
      </c>
      <c r="G706" s="46">
        <v>74.717676591289106</v>
      </c>
      <c r="H706" s="47">
        <v>527.38682366251396</v>
      </c>
    </row>
    <row r="707" spans="3:8">
      <c r="C707" s="39"/>
      <c r="D707" s="65"/>
      <c r="E707" s="39"/>
      <c r="F707" s="60"/>
      <c r="G707" s="46"/>
      <c r="H707" s="47">
        <v>0</v>
      </c>
    </row>
    <row r="708" spans="3:8">
      <c r="C708" s="39"/>
      <c r="D708" s="65"/>
      <c r="E708" s="39"/>
      <c r="F708" s="60"/>
      <c r="G708" s="46"/>
      <c r="H708" s="47"/>
    </row>
    <row r="709" spans="3:8">
      <c r="C709" s="51" t="s">
        <v>37</v>
      </c>
      <c r="D709" s="51"/>
      <c r="E709" s="51"/>
      <c r="F709" s="52"/>
      <c r="G709" s="51"/>
      <c r="H709" s="53">
        <v>3063.6055848538799</v>
      </c>
    </row>
    <row r="710" spans="3:8">
      <c r="C710" s="54" t="s">
        <v>38</v>
      </c>
      <c r="D710" s="55" t="s">
        <v>39</v>
      </c>
      <c r="E710" s="56"/>
      <c r="F710" s="57"/>
      <c r="G710" s="58"/>
      <c r="H710" s="58"/>
    </row>
    <row r="711" spans="3:8">
      <c r="C711" s="39" t="s">
        <v>53</v>
      </c>
      <c r="D711" s="76" t="s">
        <v>161</v>
      </c>
      <c r="E711" s="39" t="s">
        <v>131</v>
      </c>
      <c r="F711" s="60">
        <v>1.55227833394235</v>
      </c>
      <c r="G711" s="62">
        <v>264.062314369408</v>
      </c>
      <c r="H711" s="61">
        <v>409.89820940630801</v>
      </c>
    </row>
    <row r="712" spans="3:8">
      <c r="C712" s="39" t="s">
        <v>53</v>
      </c>
      <c r="D712" s="76" t="s">
        <v>162</v>
      </c>
      <c r="E712" s="39" t="s">
        <v>51</v>
      </c>
      <c r="F712" s="60">
        <v>0.28884026258205697</v>
      </c>
      <c r="G712" s="62">
        <v>329.95867768595002</v>
      </c>
      <c r="H712" s="61">
        <v>95.305351104038195</v>
      </c>
    </row>
    <row r="713" spans="3:8">
      <c r="C713" s="39" t="s">
        <v>53</v>
      </c>
      <c r="D713" s="76" t="s">
        <v>136</v>
      </c>
      <c r="E713" s="39" t="s">
        <v>28</v>
      </c>
      <c r="F713" s="105">
        <v>0.48749999999999999</v>
      </c>
      <c r="G713" s="62">
        <v>153.18027924269401</v>
      </c>
      <c r="H713" s="61">
        <v>74.675386130813294</v>
      </c>
    </row>
    <row r="714" spans="3:8">
      <c r="C714" s="39" t="s">
        <v>53</v>
      </c>
      <c r="D714" s="76" t="s">
        <v>163</v>
      </c>
      <c r="E714" s="39" t="s">
        <v>128</v>
      </c>
      <c r="F714" s="40">
        <v>0.69118632707774796</v>
      </c>
      <c r="G714" s="62">
        <v>304.92424242424198</v>
      </c>
      <c r="H714" s="61">
        <v>210.75946715817699</v>
      </c>
    </row>
    <row r="715" spans="3:8">
      <c r="C715" s="39" t="s">
        <v>53</v>
      </c>
      <c r="D715" s="76" t="s">
        <v>164</v>
      </c>
      <c r="E715" s="39" t="s">
        <v>51</v>
      </c>
      <c r="F715" s="40">
        <v>0.35257540305779</v>
      </c>
      <c r="G715" s="47">
        <v>349.827272727273</v>
      </c>
      <c r="H715" s="61">
        <v>123.34049168242601</v>
      </c>
    </row>
    <row r="716" spans="3:8">
      <c r="C716" s="39" t="s">
        <v>53</v>
      </c>
      <c r="D716" s="76" t="s">
        <v>165</v>
      </c>
      <c r="E716" s="39" t="s">
        <v>51</v>
      </c>
      <c r="F716" s="40">
        <v>0.28884026258205697</v>
      </c>
      <c r="G716" s="62">
        <v>506.42566941826999</v>
      </c>
      <c r="H716" s="61">
        <v>146.27612333306701</v>
      </c>
    </row>
    <row r="717" spans="3:8">
      <c r="C717" s="39" t="s">
        <v>53</v>
      </c>
      <c r="D717" s="44" t="s">
        <v>166</v>
      </c>
      <c r="E717" s="39" t="s">
        <v>51</v>
      </c>
      <c r="F717" s="40">
        <v>0.28884026258205697</v>
      </c>
      <c r="G717" s="62">
        <v>506.42566941826999</v>
      </c>
      <c r="H717" s="61">
        <v>146.27612333306701</v>
      </c>
    </row>
    <row r="718" spans="3:8">
      <c r="C718" s="51" t="s">
        <v>40</v>
      </c>
      <c r="D718" s="51"/>
      <c r="E718" s="51"/>
      <c r="F718" s="52"/>
      <c r="G718" s="51"/>
      <c r="H718" s="53">
        <v>1206.5311521479</v>
      </c>
    </row>
    <row r="719" spans="3:8">
      <c r="C719" s="54" t="s">
        <v>41</v>
      </c>
      <c r="D719" s="55" t="s">
        <v>42</v>
      </c>
      <c r="E719" s="56"/>
      <c r="F719" s="63"/>
      <c r="G719" s="64"/>
      <c r="H719" s="64">
        <v>0</v>
      </c>
    </row>
    <row r="720" spans="3:8">
      <c r="C720" s="45" t="s">
        <v>77</v>
      </c>
      <c r="D720" s="65" t="s">
        <v>167</v>
      </c>
      <c r="E720" s="108" t="s">
        <v>55</v>
      </c>
      <c r="F720" s="60">
        <v>0.65</v>
      </c>
      <c r="G720" s="46">
        <v>50</v>
      </c>
      <c r="H720" s="47">
        <v>32.5</v>
      </c>
    </row>
    <row r="721" spans="3:8">
      <c r="C721" s="45" t="s">
        <v>77</v>
      </c>
      <c r="D721" s="65" t="s">
        <v>168</v>
      </c>
      <c r="E721" s="108" t="s">
        <v>55</v>
      </c>
      <c r="F721" s="60">
        <v>1</v>
      </c>
      <c r="G721" s="46">
        <v>110</v>
      </c>
      <c r="H721" s="47">
        <v>110</v>
      </c>
    </row>
    <row r="722" spans="3:8">
      <c r="C722" s="45" t="s">
        <v>77</v>
      </c>
      <c r="D722" s="65" t="s">
        <v>169</v>
      </c>
      <c r="E722" s="45" t="s">
        <v>154</v>
      </c>
      <c r="F722" s="40">
        <v>15</v>
      </c>
      <c r="G722" s="50">
        <v>9.5</v>
      </c>
      <c r="H722" s="50">
        <v>142.5</v>
      </c>
    </row>
    <row r="723" spans="3:8">
      <c r="C723" s="45" t="s">
        <v>77</v>
      </c>
      <c r="D723" s="65" t="s">
        <v>170</v>
      </c>
      <c r="E723" s="45" t="s">
        <v>171</v>
      </c>
      <c r="F723" s="40">
        <v>2.2999999999999998</v>
      </c>
      <c r="G723" s="50">
        <v>90</v>
      </c>
      <c r="H723" s="50">
        <v>207</v>
      </c>
    </row>
    <row r="724" spans="3:8">
      <c r="C724" s="45" t="s">
        <v>77</v>
      </c>
      <c r="D724" s="65" t="s">
        <v>172</v>
      </c>
      <c r="E724" s="45" t="s">
        <v>28</v>
      </c>
      <c r="F724" s="40">
        <v>1</v>
      </c>
      <c r="G724" s="50">
        <v>30.6750129048311</v>
      </c>
      <c r="H724" s="61">
        <v>30.6750129048311</v>
      </c>
    </row>
    <row r="725" spans="3:8">
      <c r="C725" s="45" t="s">
        <v>77</v>
      </c>
      <c r="D725" s="65" t="s">
        <v>173</v>
      </c>
      <c r="E725" s="45" t="s">
        <v>28</v>
      </c>
      <c r="F725" s="40">
        <v>0.5</v>
      </c>
      <c r="G725" s="50">
        <v>219.92292225201101</v>
      </c>
      <c r="H725" s="61">
        <v>109.96146112600501</v>
      </c>
    </row>
    <row r="726" spans="3:8">
      <c r="C726" s="45"/>
      <c r="D726" s="65"/>
      <c r="E726" s="45"/>
      <c r="F726" s="40"/>
      <c r="G726" s="50">
        <v>0</v>
      </c>
      <c r="H726" s="61">
        <v>0</v>
      </c>
    </row>
    <row r="727" spans="3:8">
      <c r="C727" s="45"/>
      <c r="D727" s="65"/>
      <c r="E727" s="45"/>
      <c r="F727" s="40"/>
      <c r="G727" s="50">
        <v>0</v>
      </c>
      <c r="H727" s="61">
        <v>0</v>
      </c>
    </row>
    <row r="728" spans="3:8">
      <c r="C728" s="45"/>
      <c r="D728" s="65"/>
      <c r="E728" s="45"/>
      <c r="F728" s="40"/>
      <c r="G728" s="50">
        <v>0</v>
      </c>
      <c r="H728" s="61">
        <v>0</v>
      </c>
    </row>
    <row r="729" spans="3:8">
      <c r="C729" s="45"/>
      <c r="D729" s="65"/>
      <c r="E729" s="45"/>
      <c r="F729" s="40"/>
      <c r="G729" s="50">
        <v>0</v>
      </c>
      <c r="H729" s="61">
        <v>0</v>
      </c>
    </row>
    <row r="730" spans="3:8">
      <c r="C730" s="51" t="s">
        <v>43</v>
      </c>
      <c r="D730" s="51"/>
      <c r="E730" s="51"/>
      <c r="F730" s="52"/>
      <c r="G730" s="51"/>
      <c r="H730" s="53">
        <v>632.63647403083598</v>
      </c>
    </row>
    <row r="731" spans="3:8" ht="15.75">
      <c r="C731" s="66" t="s">
        <v>44</v>
      </c>
      <c r="D731" s="67"/>
      <c r="E731" s="67"/>
      <c r="F731" s="68"/>
      <c r="G731" s="69"/>
      <c r="H731" s="53">
        <v>4902.7732110326097</v>
      </c>
    </row>
    <row r="732" spans="3:8" ht="15.75">
      <c r="C732" s="66" t="s">
        <v>45</v>
      </c>
      <c r="D732" s="67"/>
      <c r="E732" s="67"/>
      <c r="F732" s="68"/>
      <c r="G732" s="69"/>
      <c r="H732" s="70">
        <v>1207.8051926770299</v>
      </c>
    </row>
    <row r="733" spans="3:8" ht="15.75">
      <c r="C733" s="66" t="s">
        <v>46</v>
      </c>
      <c r="D733" s="67"/>
      <c r="E733" s="67"/>
      <c r="F733" s="68"/>
      <c r="G733" s="69"/>
      <c r="H733" s="53">
        <v>6110.58</v>
      </c>
    </row>
    <row r="734" spans="3:8" ht="15.75">
      <c r="C734" s="110"/>
      <c r="D734" s="110"/>
      <c r="E734" s="110"/>
      <c r="F734" s="111"/>
      <c r="G734" s="110"/>
      <c r="H734" s="112"/>
    </row>
    <row r="735" spans="3:8" ht="30">
      <c r="C735" s="22" t="s">
        <v>23</v>
      </c>
      <c r="D735" s="23" t="s">
        <v>195</v>
      </c>
      <c r="E735" s="23"/>
      <c r="F735" s="24"/>
      <c r="G735" s="25"/>
      <c r="H735" s="26"/>
    </row>
    <row r="736" spans="3:8">
      <c r="C736" s="27" t="s">
        <v>25</v>
      </c>
      <c r="D736" s="28" t="s">
        <v>196</v>
      </c>
      <c r="E736" s="29"/>
      <c r="F736" s="30" t="s">
        <v>27</v>
      </c>
      <c r="G736" s="31" t="s">
        <v>128</v>
      </c>
      <c r="H736" s="32">
        <v>9405.64</v>
      </c>
    </row>
    <row r="737" spans="3:8">
      <c r="C737" s="33" t="s">
        <v>29</v>
      </c>
      <c r="D737" s="33" t="s">
        <v>30</v>
      </c>
      <c r="E737" s="33" t="s">
        <v>31</v>
      </c>
      <c r="F737" s="34" t="s">
        <v>32</v>
      </c>
      <c r="G737" s="35" t="s">
        <v>33</v>
      </c>
      <c r="H737" s="35" t="s">
        <v>34</v>
      </c>
    </row>
    <row r="738" spans="3:8">
      <c r="C738" s="33"/>
      <c r="D738" s="33"/>
      <c r="E738" s="33"/>
      <c r="F738" s="34"/>
      <c r="G738" s="36"/>
      <c r="H738" s="36"/>
    </row>
    <row r="739" spans="3:8">
      <c r="C739" s="37" t="s">
        <v>35</v>
      </c>
      <c r="D739" s="38" t="s">
        <v>36</v>
      </c>
      <c r="E739" s="39"/>
      <c r="F739" s="40"/>
      <c r="G739" s="41"/>
      <c r="H739" s="42"/>
    </row>
    <row r="740" spans="3:8">
      <c r="C740" s="39"/>
      <c r="D740" s="71"/>
      <c r="E740" s="39"/>
      <c r="F740" s="60"/>
      <c r="G740" s="46"/>
      <c r="H740" s="47">
        <v>0</v>
      </c>
    </row>
    <row r="741" spans="3:8">
      <c r="C741" s="39" t="s">
        <v>49</v>
      </c>
      <c r="D741" s="65" t="s">
        <v>191</v>
      </c>
      <c r="E741" s="39" t="s">
        <v>131</v>
      </c>
      <c r="F741" s="60">
        <v>42.256750338029697</v>
      </c>
      <c r="G741" s="46">
        <v>115.628519264609</v>
      </c>
      <c r="H741" s="47">
        <v>4886.0854705206202</v>
      </c>
    </row>
    <row r="742" spans="3:8">
      <c r="C742" s="39" t="s">
        <v>49</v>
      </c>
      <c r="D742" s="65" t="s">
        <v>192</v>
      </c>
      <c r="E742" s="39" t="s">
        <v>131</v>
      </c>
      <c r="F742" s="60">
        <v>5.0769582916920104</v>
      </c>
      <c r="G742" s="46">
        <v>57.709977237362303</v>
      </c>
      <c r="H742" s="47">
        <v>292.99114744858298</v>
      </c>
    </row>
    <row r="743" spans="3:8">
      <c r="C743" s="39" t="s">
        <v>49</v>
      </c>
      <c r="D743" s="65" t="s">
        <v>133</v>
      </c>
      <c r="E743" s="39" t="s">
        <v>131</v>
      </c>
      <c r="F743" s="60">
        <v>1.1224708356253501</v>
      </c>
      <c r="G743" s="46">
        <v>52.035429693461801</v>
      </c>
      <c r="H743" s="47">
        <v>58.408252250144201</v>
      </c>
    </row>
    <row r="744" spans="3:8">
      <c r="C744" s="39" t="s">
        <v>49</v>
      </c>
      <c r="D744" s="65" t="s">
        <v>160</v>
      </c>
      <c r="E744" s="39" t="s">
        <v>131</v>
      </c>
      <c r="F744" s="60">
        <v>7.0583943147396901</v>
      </c>
      <c r="G744" s="46">
        <v>74.717676591289106</v>
      </c>
      <c r="H744" s="47">
        <v>527.38682366251396</v>
      </c>
    </row>
    <row r="745" spans="3:8">
      <c r="C745" s="39"/>
      <c r="D745" s="65"/>
      <c r="E745" s="39"/>
      <c r="F745" s="60"/>
      <c r="G745" s="46"/>
      <c r="H745" s="47">
        <v>0</v>
      </c>
    </row>
    <row r="746" spans="3:8">
      <c r="C746" s="39"/>
      <c r="D746" s="65"/>
      <c r="E746" s="39"/>
      <c r="F746" s="60"/>
      <c r="G746" s="46"/>
      <c r="H746" s="47"/>
    </row>
    <row r="747" spans="3:8">
      <c r="C747" s="51" t="s">
        <v>37</v>
      </c>
      <c r="D747" s="51"/>
      <c r="E747" s="51"/>
      <c r="F747" s="52"/>
      <c r="G747" s="51"/>
      <c r="H747" s="53">
        <v>5764.8716938818598</v>
      </c>
    </row>
    <row r="748" spans="3:8">
      <c r="C748" s="54" t="s">
        <v>38</v>
      </c>
      <c r="D748" s="55" t="s">
        <v>39</v>
      </c>
      <c r="E748" s="56"/>
      <c r="F748" s="57"/>
      <c r="G748" s="58"/>
      <c r="H748" s="58"/>
    </row>
    <row r="749" spans="3:8">
      <c r="C749" s="39" t="s">
        <v>53</v>
      </c>
      <c r="D749" s="76" t="s">
        <v>161</v>
      </c>
      <c r="E749" s="39" t="s">
        <v>131</v>
      </c>
      <c r="F749" s="60">
        <v>1.55227833394235</v>
      </c>
      <c r="G749" s="62">
        <v>264.062314369408</v>
      </c>
      <c r="H749" s="61">
        <v>409.89820940630801</v>
      </c>
    </row>
    <row r="750" spans="3:8">
      <c r="C750" s="39" t="s">
        <v>53</v>
      </c>
      <c r="D750" s="76" t="s">
        <v>162</v>
      </c>
      <c r="E750" s="39" t="s">
        <v>51</v>
      </c>
      <c r="F750" s="60">
        <v>0.28884026258205697</v>
      </c>
      <c r="G750" s="62">
        <v>329.95867768595002</v>
      </c>
      <c r="H750" s="61">
        <v>95.305351104038195</v>
      </c>
    </row>
    <row r="751" spans="3:8">
      <c r="C751" s="39" t="s">
        <v>53</v>
      </c>
      <c r="D751" s="76" t="s">
        <v>136</v>
      </c>
      <c r="E751" s="39" t="s">
        <v>28</v>
      </c>
      <c r="F751" s="105">
        <v>0.48749999999999999</v>
      </c>
      <c r="G751" s="62">
        <v>288.24358469409299</v>
      </c>
      <c r="H751" s="61">
        <v>140.51874753837001</v>
      </c>
    </row>
    <row r="752" spans="3:8">
      <c r="C752" s="39" t="s">
        <v>53</v>
      </c>
      <c r="D752" s="76" t="s">
        <v>163</v>
      </c>
      <c r="E752" s="39" t="s">
        <v>128</v>
      </c>
      <c r="F752" s="40">
        <v>0.69118632707774796</v>
      </c>
      <c r="G752" s="62">
        <v>304.92424242424198</v>
      </c>
      <c r="H752" s="61">
        <v>210.75946715817699</v>
      </c>
    </row>
    <row r="753" spans="3:8">
      <c r="C753" s="39" t="s">
        <v>53</v>
      </c>
      <c r="D753" s="76" t="s">
        <v>165</v>
      </c>
      <c r="E753" s="39" t="s">
        <v>51</v>
      </c>
      <c r="F753" s="40">
        <v>0.28884026258205697</v>
      </c>
      <c r="G753" s="62">
        <v>506.42566941826999</v>
      </c>
      <c r="H753" s="61">
        <v>146.27612333306701</v>
      </c>
    </row>
    <row r="754" spans="3:8">
      <c r="C754" s="39" t="s">
        <v>53</v>
      </c>
      <c r="D754" s="44" t="s">
        <v>166</v>
      </c>
      <c r="E754" s="39" t="s">
        <v>51</v>
      </c>
      <c r="F754" s="40">
        <v>0.28884026258205697</v>
      </c>
      <c r="G754" s="62">
        <v>506.42566941826999</v>
      </c>
      <c r="H754" s="61">
        <v>146.27612333306701</v>
      </c>
    </row>
    <row r="755" spans="3:8">
      <c r="C755" s="39"/>
      <c r="D755" s="44"/>
      <c r="E755" s="39"/>
      <c r="F755" s="49"/>
      <c r="G755" s="47">
        <v>0</v>
      </c>
      <c r="H755" s="61">
        <v>0</v>
      </c>
    </row>
    <row r="756" spans="3:8">
      <c r="C756" s="51" t="s">
        <v>40</v>
      </c>
      <c r="D756" s="51"/>
      <c r="E756" s="51"/>
      <c r="F756" s="52"/>
      <c r="G756" s="51"/>
      <c r="H756" s="53">
        <v>1149.03402187303</v>
      </c>
    </row>
    <row r="757" spans="3:8">
      <c r="C757" s="54" t="s">
        <v>41</v>
      </c>
      <c r="D757" s="55" t="s">
        <v>42</v>
      </c>
      <c r="E757" s="56"/>
      <c r="F757" s="63"/>
      <c r="G757" s="64"/>
      <c r="H757" s="64">
        <v>0</v>
      </c>
    </row>
    <row r="758" spans="3:8">
      <c r="C758" s="45" t="s">
        <v>77</v>
      </c>
      <c r="D758" s="65" t="s">
        <v>167</v>
      </c>
      <c r="E758" s="108" t="s">
        <v>55</v>
      </c>
      <c r="F758" s="60">
        <v>0.65</v>
      </c>
      <c r="G758" s="46">
        <v>50</v>
      </c>
      <c r="H758" s="47">
        <v>32.5</v>
      </c>
    </row>
    <row r="759" spans="3:8">
      <c r="C759" s="45" t="s">
        <v>77</v>
      </c>
      <c r="D759" s="65" t="s">
        <v>168</v>
      </c>
      <c r="E759" s="108" t="s">
        <v>55</v>
      </c>
      <c r="F759" s="60">
        <v>1</v>
      </c>
      <c r="G759" s="46">
        <v>110</v>
      </c>
      <c r="H759" s="47">
        <v>110</v>
      </c>
    </row>
    <row r="760" spans="3:8">
      <c r="C760" s="45" t="s">
        <v>77</v>
      </c>
      <c r="D760" s="65" t="s">
        <v>169</v>
      </c>
      <c r="E760" s="45" t="s">
        <v>154</v>
      </c>
      <c r="F760" s="40">
        <v>15</v>
      </c>
      <c r="G760" s="50">
        <v>9.5</v>
      </c>
      <c r="H760" s="50">
        <v>142.5</v>
      </c>
    </row>
    <row r="761" spans="3:8">
      <c r="C761" s="45" t="s">
        <v>77</v>
      </c>
      <c r="D761" s="65" t="s">
        <v>170</v>
      </c>
      <c r="E761" s="45" t="s">
        <v>171</v>
      </c>
      <c r="F761" s="40">
        <v>2.2999999999999998</v>
      </c>
      <c r="G761" s="50">
        <v>90</v>
      </c>
      <c r="H761" s="50">
        <v>207</v>
      </c>
    </row>
    <row r="762" spans="3:8">
      <c r="C762" s="45" t="s">
        <v>77</v>
      </c>
      <c r="D762" s="65" t="s">
        <v>172</v>
      </c>
      <c r="E762" s="45" t="s">
        <v>28</v>
      </c>
      <c r="F762" s="40">
        <v>1</v>
      </c>
      <c r="G762" s="50">
        <v>30.6750129048311</v>
      </c>
      <c r="H762" s="61">
        <v>30.6750129048311</v>
      </c>
    </row>
    <row r="763" spans="3:8">
      <c r="C763" s="45" t="s">
        <v>77</v>
      </c>
      <c r="D763" s="65" t="s">
        <v>173</v>
      </c>
      <c r="E763" s="45" t="s">
        <v>28</v>
      </c>
      <c r="F763" s="40">
        <v>0.5</v>
      </c>
      <c r="G763" s="50">
        <v>219.92292225201101</v>
      </c>
      <c r="H763" s="61">
        <v>109.96146112600501</v>
      </c>
    </row>
    <row r="764" spans="3:8">
      <c r="C764" s="45"/>
      <c r="D764" s="65"/>
      <c r="E764" s="45"/>
      <c r="F764" s="40"/>
      <c r="G764" s="50">
        <v>0</v>
      </c>
      <c r="H764" s="61">
        <v>0</v>
      </c>
    </row>
    <row r="765" spans="3:8">
      <c r="C765" s="45"/>
      <c r="D765" s="65"/>
      <c r="E765" s="45"/>
      <c r="F765" s="40"/>
      <c r="G765" s="50">
        <v>0</v>
      </c>
      <c r="H765" s="61">
        <v>0</v>
      </c>
    </row>
    <row r="766" spans="3:8">
      <c r="C766" s="45"/>
      <c r="D766" s="65"/>
      <c r="E766" s="45"/>
      <c r="F766" s="40"/>
      <c r="G766" s="50">
        <v>0</v>
      </c>
      <c r="H766" s="61">
        <v>0</v>
      </c>
    </row>
    <row r="767" spans="3:8">
      <c r="C767" s="45"/>
      <c r="D767" s="65"/>
      <c r="E767" s="45"/>
      <c r="F767" s="40"/>
      <c r="G767" s="50">
        <v>0</v>
      </c>
      <c r="H767" s="61">
        <v>0</v>
      </c>
    </row>
    <row r="768" spans="3:8">
      <c r="C768" s="51" t="s">
        <v>43</v>
      </c>
      <c r="D768" s="51"/>
      <c r="E768" s="51"/>
      <c r="F768" s="52"/>
      <c r="G768" s="51"/>
      <c r="H768" s="53">
        <v>632.63647403083598</v>
      </c>
    </row>
    <row r="769" spans="3:8" ht="15.75">
      <c r="C769" s="66" t="s">
        <v>44</v>
      </c>
      <c r="D769" s="67"/>
      <c r="E769" s="67"/>
      <c r="F769" s="68"/>
      <c r="G769" s="69"/>
      <c r="H769" s="53">
        <v>7546.5421897857304</v>
      </c>
    </row>
    <row r="770" spans="3:8" ht="15.75">
      <c r="C770" s="66" t="s">
        <v>45</v>
      </c>
      <c r="D770" s="67"/>
      <c r="E770" s="67"/>
      <c r="F770" s="68"/>
      <c r="G770" s="69"/>
      <c r="H770" s="70">
        <v>1859.1014618152799</v>
      </c>
    </row>
    <row r="771" spans="3:8" ht="15.75">
      <c r="C771" s="66" t="s">
        <v>46</v>
      </c>
      <c r="D771" s="67"/>
      <c r="E771" s="67"/>
      <c r="F771" s="68"/>
      <c r="G771" s="69"/>
      <c r="H771" s="53">
        <v>9405.64</v>
      </c>
    </row>
    <row r="772" spans="3:8" ht="15.75">
      <c r="C772" s="110"/>
      <c r="D772" s="110"/>
      <c r="E772" s="110"/>
      <c r="F772" s="111"/>
      <c r="G772" s="110"/>
      <c r="H772" s="112"/>
    </row>
    <row r="773" spans="3:8">
      <c r="C773" s="22" t="s">
        <v>23</v>
      </c>
      <c r="D773" s="23" t="s">
        <v>197</v>
      </c>
      <c r="E773" s="23"/>
      <c r="F773" s="24"/>
      <c r="G773" s="25"/>
      <c r="H773" s="26"/>
    </row>
    <row r="774" spans="3:8">
      <c r="C774" s="27" t="s">
        <v>25</v>
      </c>
      <c r="D774" s="28" t="s">
        <v>198</v>
      </c>
      <c r="E774" s="29"/>
      <c r="F774" s="30" t="s">
        <v>27</v>
      </c>
      <c r="G774" s="31" t="s">
        <v>199</v>
      </c>
      <c r="H774" s="32">
        <v>546.6</v>
      </c>
    </row>
    <row r="775" spans="3:8">
      <c r="C775" s="33" t="s">
        <v>29</v>
      </c>
      <c r="D775" s="33" t="s">
        <v>30</v>
      </c>
      <c r="E775" s="33" t="s">
        <v>31</v>
      </c>
      <c r="F775" s="34" t="s">
        <v>32</v>
      </c>
      <c r="G775" s="35" t="s">
        <v>33</v>
      </c>
      <c r="H775" s="35" t="s">
        <v>34</v>
      </c>
    </row>
    <row r="776" spans="3:8">
      <c r="C776" s="33"/>
      <c r="D776" s="33"/>
      <c r="E776" s="33"/>
      <c r="F776" s="34"/>
      <c r="G776" s="36"/>
      <c r="H776" s="36"/>
    </row>
    <row r="777" spans="3:8">
      <c r="C777" s="37" t="s">
        <v>35</v>
      </c>
      <c r="D777" s="38" t="s">
        <v>36</v>
      </c>
      <c r="E777" s="39"/>
      <c r="F777" s="40"/>
      <c r="G777" s="41"/>
      <c r="H777" s="42"/>
    </row>
    <row r="778" spans="3:8">
      <c r="C778" s="39" t="s">
        <v>129</v>
      </c>
      <c r="D778" s="71" t="s">
        <v>200</v>
      </c>
      <c r="E778" s="39" t="s">
        <v>51</v>
      </c>
      <c r="F778" s="60">
        <v>1.15675533475437</v>
      </c>
      <c r="G778" s="46">
        <v>78.795486071171297</v>
      </c>
      <c r="H778" s="47">
        <v>91.147098867391094</v>
      </c>
    </row>
    <row r="779" spans="3:8">
      <c r="C779" s="39" t="s">
        <v>49</v>
      </c>
      <c r="D779" s="65" t="s">
        <v>201</v>
      </c>
      <c r="E779" s="39" t="s">
        <v>51</v>
      </c>
      <c r="F779" s="60">
        <v>0.70888580106578203</v>
      </c>
      <c r="G779" s="46">
        <v>45.411750977784699</v>
      </c>
      <c r="H779" s="47">
        <v>32.191745469686701</v>
      </c>
    </row>
    <row r="780" spans="3:8">
      <c r="C780" s="39" t="s">
        <v>129</v>
      </c>
      <c r="D780" s="65" t="s">
        <v>202</v>
      </c>
      <c r="E780" s="108" t="s">
        <v>51</v>
      </c>
      <c r="F780" s="60">
        <v>0.77946202678576604</v>
      </c>
      <c r="G780" s="46">
        <v>72.4420787409273</v>
      </c>
      <c r="H780" s="47">
        <v>56.465849519977198</v>
      </c>
    </row>
    <row r="781" spans="3:8">
      <c r="C781" s="39" t="s">
        <v>49</v>
      </c>
      <c r="D781" s="65" t="s">
        <v>160</v>
      </c>
      <c r="E781" s="39" t="s">
        <v>51</v>
      </c>
      <c r="F781" s="60">
        <v>0.60896746129230495</v>
      </c>
      <c r="G781" s="46">
        <v>74.717676591289106</v>
      </c>
      <c r="H781" s="47">
        <v>45.500633827456802</v>
      </c>
    </row>
    <row r="782" spans="3:8">
      <c r="C782" s="39" t="s">
        <v>129</v>
      </c>
      <c r="D782" s="65" t="s">
        <v>203</v>
      </c>
      <c r="E782" s="39" t="s">
        <v>51</v>
      </c>
      <c r="F782" s="60">
        <v>0.60661784403297603</v>
      </c>
      <c r="G782" s="46">
        <v>106.731710416406</v>
      </c>
      <c r="H782" s="47">
        <v>64.745360062751899</v>
      </c>
    </row>
    <row r="783" spans="3:8">
      <c r="C783" s="43"/>
      <c r="D783" s="65"/>
      <c r="E783" s="39"/>
      <c r="F783" s="60"/>
      <c r="G783" s="46">
        <v>0</v>
      </c>
      <c r="H783" s="47">
        <v>0</v>
      </c>
    </row>
    <row r="784" spans="3:8">
      <c r="C784" s="43"/>
      <c r="D784" s="65"/>
      <c r="E784" s="39"/>
      <c r="F784" s="75"/>
      <c r="G784" s="46">
        <v>0</v>
      </c>
      <c r="H784" s="47">
        <v>0</v>
      </c>
    </row>
    <row r="785" spans="3:8">
      <c r="C785" s="51" t="s">
        <v>37</v>
      </c>
      <c r="D785" s="51"/>
      <c r="E785" s="51"/>
      <c r="F785" s="52"/>
      <c r="G785" s="51"/>
      <c r="H785" s="53">
        <v>290.05068774726402</v>
      </c>
    </row>
    <row r="786" spans="3:8">
      <c r="C786" s="54" t="s">
        <v>38</v>
      </c>
      <c r="D786" s="55" t="s">
        <v>39</v>
      </c>
      <c r="E786" s="56"/>
      <c r="F786" s="57"/>
      <c r="G786" s="58"/>
      <c r="H786" s="58"/>
    </row>
    <row r="787" spans="3:8">
      <c r="C787" s="39" t="s">
        <v>53</v>
      </c>
      <c r="D787" s="76" t="s">
        <v>136</v>
      </c>
      <c r="E787" s="39" t="s">
        <v>28</v>
      </c>
      <c r="F787" s="105">
        <v>0.48749999999999999</v>
      </c>
      <c r="G787" s="62">
        <v>20.3035481423085</v>
      </c>
      <c r="H787" s="61">
        <v>9.89797971937538</v>
      </c>
    </row>
    <row r="788" spans="3:8">
      <c r="C788" s="39"/>
      <c r="D788" s="76"/>
      <c r="E788" s="39"/>
      <c r="F788" s="115"/>
      <c r="G788" s="47">
        <v>0</v>
      </c>
      <c r="H788" s="61">
        <v>0</v>
      </c>
    </row>
    <row r="789" spans="3:8">
      <c r="C789" s="39"/>
      <c r="D789" s="76"/>
      <c r="E789" s="39"/>
      <c r="F789" s="116"/>
      <c r="G789" s="47">
        <v>0</v>
      </c>
      <c r="H789" s="61">
        <v>0</v>
      </c>
    </row>
    <row r="790" spans="3:8">
      <c r="C790" s="39"/>
      <c r="D790" s="76"/>
      <c r="E790" s="39"/>
      <c r="F790" s="40"/>
      <c r="G790" s="47">
        <v>0</v>
      </c>
      <c r="H790" s="61">
        <v>0</v>
      </c>
    </row>
    <row r="791" spans="3:8">
      <c r="C791" s="39"/>
      <c r="D791" s="76"/>
      <c r="E791" s="39"/>
      <c r="F791" s="40"/>
      <c r="G791" s="47">
        <v>0</v>
      </c>
      <c r="H791" s="61">
        <v>0</v>
      </c>
    </row>
    <row r="792" spans="3:8">
      <c r="C792" s="39"/>
      <c r="D792" s="76"/>
      <c r="E792" s="39"/>
      <c r="F792" s="40"/>
      <c r="G792" s="47">
        <v>0</v>
      </c>
      <c r="H792" s="61">
        <v>0</v>
      </c>
    </row>
    <row r="793" spans="3:8">
      <c r="C793" s="39"/>
      <c r="D793" s="76"/>
      <c r="E793" s="39"/>
      <c r="F793" s="40"/>
      <c r="G793" s="62">
        <v>0</v>
      </c>
      <c r="H793" s="61">
        <v>0</v>
      </c>
    </row>
    <row r="794" spans="3:8">
      <c r="C794" s="39"/>
      <c r="D794" s="44"/>
      <c r="E794" s="39"/>
      <c r="F794" s="49"/>
      <c r="G794" s="47">
        <v>0</v>
      </c>
      <c r="H794" s="61">
        <v>0</v>
      </c>
    </row>
    <row r="795" spans="3:8">
      <c r="C795" s="51" t="s">
        <v>40</v>
      </c>
      <c r="D795" s="51"/>
      <c r="E795" s="51"/>
      <c r="F795" s="52"/>
      <c r="G795" s="51"/>
      <c r="H795" s="53">
        <v>9.89797971937538</v>
      </c>
    </row>
    <row r="796" spans="3:8">
      <c r="C796" s="54" t="s">
        <v>41</v>
      </c>
      <c r="D796" s="55" t="s">
        <v>42</v>
      </c>
      <c r="E796" s="56"/>
      <c r="F796" s="63"/>
      <c r="G796" s="64"/>
      <c r="H796" s="64">
        <v>0</v>
      </c>
    </row>
    <row r="797" spans="3:8">
      <c r="C797" s="45" t="s">
        <v>77</v>
      </c>
      <c r="D797" s="65" t="s">
        <v>204</v>
      </c>
      <c r="E797" s="45" t="s">
        <v>28</v>
      </c>
      <c r="F797" s="40">
        <v>1</v>
      </c>
      <c r="G797" s="50">
        <v>74.382045711606693</v>
      </c>
      <c r="H797" s="50">
        <v>74.382045711606693</v>
      </c>
    </row>
    <row r="798" spans="3:8">
      <c r="C798" s="45" t="s">
        <v>77</v>
      </c>
      <c r="D798" s="65" t="s">
        <v>205</v>
      </c>
      <c r="E798" s="45" t="s">
        <v>55</v>
      </c>
      <c r="F798" s="40">
        <v>1</v>
      </c>
      <c r="G798" s="50">
        <v>64.228437968658596</v>
      </c>
      <c r="H798" s="50">
        <v>64.228437968658596</v>
      </c>
    </row>
    <row r="799" spans="3:8">
      <c r="C799" s="45"/>
      <c r="D799" s="65"/>
      <c r="E799" s="45"/>
      <c r="F799" s="40"/>
      <c r="G799" s="50"/>
      <c r="H799" s="50"/>
    </row>
    <row r="800" spans="3:8">
      <c r="C800" s="45"/>
      <c r="D800" s="65"/>
      <c r="E800" s="45"/>
      <c r="F800" s="40"/>
      <c r="G800" s="50"/>
      <c r="H800" s="50"/>
    </row>
    <row r="801" spans="3:8">
      <c r="C801" s="45"/>
      <c r="D801" s="65"/>
      <c r="E801" s="45"/>
      <c r="F801" s="40"/>
      <c r="G801" s="50">
        <v>0</v>
      </c>
      <c r="H801" s="61">
        <v>0</v>
      </c>
    </row>
    <row r="802" spans="3:8">
      <c r="C802" s="45"/>
      <c r="D802" s="65"/>
      <c r="E802" s="45"/>
      <c r="F802" s="40"/>
      <c r="G802" s="50">
        <v>0</v>
      </c>
      <c r="H802" s="61">
        <v>0</v>
      </c>
    </row>
    <row r="803" spans="3:8">
      <c r="C803" s="45"/>
      <c r="D803" s="65"/>
      <c r="E803" s="45"/>
      <c r="F803" s="40"/>
      <c r="G803" s="50">
        <v>0</v>
      </c>
      <c r="H803" s="61">
        <v>0</v>
      </c>
    </row>
    <row r="804" spans="3:8">
      <c r="C804" s="45"/>
      <c r="D804" s="65"/>
      <c r="E804" s="45"/>
      <c r="F804" s="40"/>
      <c r="G804" s="50">
        <v>0</v>
      </c>
      <c r="H804" s="61">
        <v>0</v>
      </c>
    </row>
    <row r="805" spans="3:8">
      <c r="C805" s="51" t="s">
        <v>43</v>
      </c>
      <c r="D805" s="51"/>
      <c r="E805" s="51"/>
      <c r="F805" s="52"/>
      <c r="G805" s="51"/>
      <c r="H805" s="53">
        <v>138.61048368026499</v>
      </c>
    </row>
    <row r="806" spans="3:8" ht="15.75">
      <c r="C806" s="66" t="s">
        <v>44</v>
      </c>
      <c r="D806" s="67"/>
      <c r="E806" s="67"/>
      <c r="F806" s="68"/>
      <c r="G806" s="69"/>
      <c r="H806" s="53">
        <v>438.55915114690401</v>
      </c>
    </row>
    <row r="807" spans="3:8" ht="15.75">
      <c r="C807" s="66" t="s">
        <v>45</v>
      </c>
      <c r="D807" s="67"/>
      <c r="E807" s="67"/>
      <c r="F807" s="68"/>
      <c r="G807" s="69"/>
      <c r="H807" s="70">
        <v>108.039674129593</v>
      </c>
    </row>
    <row r="808" spans="3:8" ht="15.75">
      <c r="C808" s="66" t="s">
        <v>46</v>
      </c>
      <c r="D808" s="67"/>
      <c r="E808" s="67"/>
      <c r="F808" s="68"/>
      <c r="G808" s="69"/>
      <c r="H808" s="53">
        <v>546.6</v>
      </c>
    </row>
    <row r="809" spans="3:8" ht="15.75">
      <c r="C809" s="110"/>
      <c r="D809" s="110"/>
      <c r="E809" s="110"/>
      <c r="F809" s="111"/>
      <c r="G809" s="110"/>
      <c r="H809" s="112"/>
    </row>
    <row r="810" spans="3:8">
      <c r="C810" s="22" t="s">
        <v>23</v>
      </c>
      <c r="D810" s="23" t="s">
        <v>206</v>
      </c>
      <c r="E810" s="23"/>
      <c r="F810" s="24"/>
      <c r="G810" s="25"/>
      <c r="H810" s="26"/>
    </row>
    <row r="811" spans="3:8">
      <c r="C811" s="27" t="s">
        <v>25</v>
      </c>
      <c r="D811" s="28" t="s">
        <v>207</v>
      </c>
      <c r="E811" s="29"/>
      <c r="F811" s="30" t="s">
        <v>27</v>
      </c>
      <c r="G811" s="31" t="s">
        <v>199</v>
      </c>
      <c r="H811" s="32">
        <v>583.98</v>
      </c>
    </row>
    <row r="812" spans="3:8">
      <c r="C812" s="33" t="s">
        <v>29</v>
      </c>
      <c r="D812" s="33" t="s">
        <v>30</v>
      </c>
      <c r="E812" s="33" t="s">
        <v>31</v>
      </c>
      <c r="F812" s="34" t="s">
        <v>32</v>
      </c>
      <c r="G812" s="35" t="s">
        <v>33</v>
      </c>
      <c r="H812" s="35" t="s">
        <v>34</v>
      </c>
    </row>
    <row r="813" spans="3:8">
      <c r="C813" s="33"/>
      <c r="D813" s="33"/>
      <c r="E813" s="33"/>
      <c r="F813" s="34"/>
      <c r="G813" s="36"/>
      <c r="H813" s="36"/>
    </row>
    <row r="814" spans="3:8">
      <c r="C814" s="37" t="s">
        <v>35</v>
      </c>
      <c r="D814" s="38" t="s">
        <v>36</v>
      </c>
      <c r="E814" s="39"/>
      <c r="F814" s="40"/>
      <c r="G814" s="41"/>
      <c r="H814" s="42"/>
    </row>
    <row r="815" spans="3:8">
      <c r="C815" s="39" t="s">
        <v>129</v>
      </c>
      <c r="D815" s="71" t="s">
        <v>200</v>
      </c>
      <c r="E815" s="39" t="s">
        <v>51</v>
      </c>
      <c r="F815" s="60">
        <v>1.2724308682298</v>
      </c>
      <c r="G815" s="46">
        <v>78.795486071171297</v>
      </c>
      <c r="H815" s="47">
        <v>100.26180875413</v>
      </c>
    </row>
    <row r="816" spans="3:8">
      <c r="C816" s="39" t="s">
        <v>49</v>
      </c>
      <c r="D816" s="65" t="s">
        <v>201</v>
      </c>
      <c r="E816" s="39" t="s">
        <v>51</v>
      </c>
      <c r="F816" s="60">
        <v>0.77977438117236098</v>
      </c>
      <c r="G816" s="46">
        <v>45.411750977784699</v>
      </c>
      <c r="H816" s="47">
        <v>35.410920016655403</v>
      </c>
    </row>
    <row r="817" spans="3:8">
      <c r="C817" s="39" t="s">
        <v>129</v>
      </c>
      <c r="D817" s="65" t="s">
        <v>202</v>
      </c>
      <c r="E817" s="108" t="s">
        <v>51</v>
      </c>
      <c r="F817" s="60">
        <v>0.85740822946434303</v>
      </c>
      <c r="G817" s="46">
        <v>72.4420787409273</v>
      </c>
      <c r="H817" s="47">
        <v>62.112434471975</v>
      </c>
    </row>
    <row r="818" spans="3:8">
      <c r="C818" s="39" t="s">
        <v>49</v>
      </c>
      <c r="D818" s="65" t="s">
        <v>160</v>
      </c>
      <c r="E818" s="39" t="s">
        <v>51</v>
      </c>
      <c r="F818" s="60">
        <v>0.66986420742153596</v>
      </c>
      <c r="G818" s="46">
        <v>74.717676591289106</v>
      </c>
      <c r="H818" s="47">
        <v>50.0506972102025</v>
      </c>
    </row>
    <row r="819" spans="3:8">
      <c r="C819" s="39" t="s">
        <v>129</v>
      </c>
      <c r="D819" s="65" t="s">
        <v>203</v>
      </c>
      <c r="E819" s="39" t="s">
        <v>51</v>
      </c>
      <c r="F819" s="60">
        <v>0.66727962843627298</v>
      </c>
      <c r="G819" s="46">
        <v>106.731710416406</v>
      </c>
      <c r="H819" s="47">
        <v>71.219896069027101</v>
      </c>
    </row>
    <row r="820" spans="3:8">
      <c r="C820" s="43"/>
      <c r="D820" s="65"/>
      <c r="E820" s="39"/>
      <c r="F820" s="60"/>
      <c r="G820" s="46">
        <v>0</v>
      </c>
      <c r="H820" s="47">
        <v>0</v>
      </c>
    </row>
    <row r="821" spans="3:8">
      <c r="C821" s="43"/>
      <c r="D821" s="65"/>
      <c r="E821" s="39"/>
      <c r="F821" s="75"/>
      <c r="G821" s="46">
        <v>0</v>
      </c>
      <c r="H821" s="47">
        <v>0</v>
      </c>
    </row>
    <row r="822" spans="3:8">
      <c r="C822" s="51" t="s">
        <v>37</v>
      </c>
      <c r="D822" s="51"/>
      <c r="E822" s="51"/>
      <c r="F822" s="52"/>
      <c r="G822" s="51"/>
      <c r="H822" s="53">
        <v>319.05575652199002</v>
      </c>
    </row>
    <row r="823" spans="3:8">
      <c r="C823" s="54" t="s">
        <v>38</v>
      </c>
      <c r="D823" s="55" t="s">
        <v>39</v>
      </c>
      <c r="E823" s="56"/>
      <c r="F823" s="57"/>
      <c r="G823" s="58"/>
      <c r="H823" s="58"/>
    </row>
    <row r="824" spans="3:8">
      <c r="C824" s="39" t="s">
        <v>53</v>
      </c>
      <c r="D824" s="76" t="s">
        <v>136</v>
      </c>
      <c r="E824" s="39" t="s">
        <v>28</v>
      </c>
      <c r="F824" s="105">
        <v>0.48749999999999999</v>
      </c>
      <c r="G824" s="62">
        <v>22.333902956539301</v>
      </c>
      <c r="H824" s="61">
        <v>10.8877776913129</v>
      </c>
    </row>
    <row r="825" spans="3:8">
      <c r="C825" s="39"/>
      <c r="D825" s="76"/>
      <c r="E825" s="39"/>
      <c r="F825" s="115"/>
      <c r="G825" s="47">
        <v>0</v>
      </c>
      <c r="H825" s="61">
        <v>0</v>
      </c>
    </row>
    <row r="826" spans="3:8">
      <c r="C826" s="39"/>
      <c r="D826" s="76"/>
      <c r="E826" s="39"/>
      <c r="F826" s="116"/>
      <c r="G826" s="47">
        <v>0</v>
      </c>
      <c r="H826" s="61">
        <v>0</v>
      </c>
    </row>
    <row r="827" spans="3:8">
      <c r="C827" s="39"/>
      <c r="D827" s="76"/>
      <c r="E827" s="39"/>
      <c r="F827" s="40"/>
      <c r="G827" s="47">
        <v>0</v>
      </c>
      <c r="H827" s="61">
        <v>0</v>
      </c>
    </row>
    <row r="828" spans="3:8">
      <c r="C828" s="39"/>
      <c r="D828" s="76"/>
      <c r="E828" s="39"/>
      <c r="F828" s="40"/>
      <c r="G828" s="47">
        <v>0</v>
      </c>
      <c r="H828" s="61">
        <v>0</v>
      </c>
    </row>
    <row r="829" spans="3:8">
      <c r="C829" s="39"/>
      <c r="D829" s="76"/>
      <c r="E829" s="39"/>
      <c r="F829" s="40"/>
      <c r="G829" s="47">
        <v>0</v>
      </c>
      <c r="H829" s="61">
        <v>0</v>
      </c>
    </row>
    <row r="830" spans="3:8">
      <c r="C830" s="39"/>
      <c r="D830" s="76"/>
      <c r="E830" s="39"/>
      <c r="F830" s="40"/>
      <c r="G830" s="62">
        <v>0</v>
      </c>
      <c r="H830" s="61">
        <v>0</v>
      </c>
    </row>
    <row r="831" spans="3:8">
      <c r="C831" s="39"/>
      <c r="D831" s="44"/>
      <c r="E831" s="39"/>
      <c r="F831" s="49"/>
      <c r="G831" s="47">
        <v>0</v>
      </c>
      <c r="H831" s="61">
        <v>0</v>
      </c>
    </row>
    <row r="832" spans="3:8">
      <c r="C832" s="51" t="s">
        <v>40</v>
      </c>
      <c r="D832" s="51"/>
      <c r="E832" s="51"/>
      <c r="F832" s="52"/>
      <c r="G832" s="51"/>
      <c r="H832" s="53">
        <v>10.8877776913129</v>
      </c>
    </row>
    <row r="833" spans="3:8">
      <c r="C833" s="54" t="s">
        <v>41</v>
      </c>
      <c r="D833" s="55" t="s">
        <v>42</v>
      </c>
      <c r="E833" s="56"/>
      <c r="F833" s="63"/>
      <c r="G833" s="64"/>
      <c r="H833" s="64">
        <v>0</v>
      </c>
    </row>
    <row r="834" spans="3:8">
      <c r="C834" s="45" t="s">
        <v>77</v>
      </c>
      <c r="D834" s="65" t="s">
        <v>204</v>
      </c>
      <c r="E834" s="45" t="s">
        <v>28</v>
      </c>
      <c r="F834" s="40">
        <v>1</v>
      </c>
      <c r="G834" s="50">
        <v>74.382045711606693</v>
      </c>
      <c r="H834" s="50">
        <v>74.382045711606693</v>
      </c>
    </row>
    <row r="835" spans="3:8">
      <c r="C835" s="45" t="s">
        <v>77</v>
      </c>
      <c r="D835" s="65" t="s">
        <v>205</v>
      </c>
      <c r="E835" s="45" t="s">
        <v>55</v>
      </c>
      <c r="F835" s="40">
        <v>1</v>
      </c>
      <c r="G835" s="50">
        <v>64.228437968658596</v>
      </c>
      <c r="H835" s="50">
        <v>64.228437968658596</v>
      </c>
    </row>
    <row r="836" spans="3:8">
      <c r="C836" s="45"/>
      <c r="D836" s="65"/>
      <c r="E836" s="45"/>
      <c r="F836" s="40"/>
      <c r="G836" s="50"/>
      <c r="H836" s="50"/>
    </row>
    <row r="837" spans="3:8">
      <c r="C837" s="45"/>
      <c r="D837" s="65"/>
      <c r="E837" s="45"/>
      <c r="F837" s="40"/>
      <c r="G837" s="50"/>
      <c r="H837" s="50"/>
    </row>
    <row r="838" spans="3:8">
      <c r="C838" s="45"/>
      <c r="D838" s="65"/>
      <c r="E838" s="45"/>
      <c r="F838" s="40"/>
      <c r="G838" s="50">
        <v>0</v>
      </c>
      <c r="H838" s="61">
        <v>0</v>
      </c>
    </row>
    <row r="839" spans="3:8">
      <c r="C839" s="45"/>
      <c r="D839" s="65"/>
      <c r="E839" s="45"/>
      <c r="F839" s="40"/>
      <c r="G839" s="50">
        <v>0</v>
      </c>
      <c r="H839" s="61">
        <v>0</v>
      </c>
    </row>
    <row r="840" spans="3:8">
      <c r="C840" s="45"/>
      <c r="D840" s="65"/>
      <c r="E840" s="45"/>
      <c r="F840" s="40"/>
      <c r="G840" s="50">
        <v>0</v>
      </c>
      <c r="H840" s="61">
        <v>0</v>
      </c>
    </row>
    <row r="841" spans="3:8">
      <c r="C841" s="45"/>
      <c r="D841" s="65"/>
      <c r="E841" s="45"/>
      <c r="F841" s="40"/>
      <c r="G841" s="50">
        <v>0</v>
      </c>
      <c r="H841" s="61">
        <v>0</v>
      </c>
    </row>
    <row r="842" spans="3:8">
      <c r="C842" s="51" t="s">
        <v>43</v>
      </c>
      <c r="D842" s="51"/>
      <c r="E842" s="51"/>
      <c r="F842" s="52"/>
      <c r="G842" s="51"/>
      <c r="H842" s="53">
        <v>138.61048368026499</v>
      </c>
    </row>
    <row r="843" spans="3:8" ht="15.75">
      <c r="C843" s="66" t="s">
        <v>44</v>
      </c>
      <c r="D843" s="67"/>
      <c r="E843" s="67"/>
      <c r="F843" s="68"/>
      <c r="G843" s="69"/>
      <c r="H843" s="53">
        <v>468.55401789356802</v>
      </c>
    </row>
    <row r="844" spans="3:8" ht="15.75">
      <c r="C844" s="66" t="s">
        <v>45</v>
      </c>
      <c r="D844" s="67"/>
      <c r="E844" s="67"/>
      <c r="F844" s="68"/>
      <c r="G844" s="69"/>
      <c r="H844" s="70">
        <v>115.428952452473</v>
      </c>
    </row>
    <row r="845" spans="3:8" ht="15.75">
      <c r="C845" s="66" t="s">
        <v>46</v>
      </c>
      <c r="D845" s="67"/>
      <c r="E845" s="67"/>
      <c r="F845" s="68"/>
      <c r="G845" s="69"/>
      <c r="H845" s="53">
        <v>583.98</v>
      </c>
    </row>
    <row r="846" spans="3:8" ht="15.75">
      <c r="C846" s="110"/>
      <c r="D846" s="110"/>
      <c r="E846" s="110"/>
      <c r="F846" s="111"/>
      <c r="G846" s="110"/>
      <c r="H846" s="112"/>
    </row>
    <row r="847" spans="3:8">
      <c r="C847" s="22" t="s">
        <v>23</v>
      </c>
      <c r="D847" s="23" t="s">
        <v>208</v>
      </c>
      <c r="E847" s="23"/>
      <c r="F847" s="24"/>
      <c r="G847" s="25"/>
      <c r="H847" s="26"/>
    </row>
    <row r="848" spans="3:8">
      <c r="C848" s="27" t="s">
        <v>25</v>
      </c>
      <c r="D848" s="28" t="s">
        <v>209</v>
      </c>
      <c r="E848" s="29"/>
      <c r="F848" s="30" t="s">
        <v>27</v>
      </c>
      <c r="G848" s="31" t="s">
        <v>199</v>
      </c>
      <c r="H848" s="32">
        <v>583.98</v>
      </c>
    </row>
    <row r="849" spans="3:8">
      <c r="C849" s="33" t="s">
        <v>29</v>
      </c>
      <c r="D849" s="33" t="s">
        <v>30</v>
      </c>
      <c r="E849" s="33" t="s">
        <v>31</v>
      </c>
      <c r="F849" s="34" t="s">
        <v>32</v>
      </c>
      <c r="G849" s="35" t="s">
        <v>33</v>
      </c>
      <c r="H849" s="35" t="s">
        <v>34</v>
      </c>
    </row>
    <row r="850" spans="3:8">
      <c r="C850" s="33"/>
      <c r="D850" s="33"/>
      <c r="E850" s="33"/>
      <c r="F850" s="34"/>
      <c r="G850" s="36"/>
      <c r="H850" s="36"/>
    </row>
    <row r="851" spans="3:8">
      <c r="C851" s="37" t="s">
        <v>35</v>
      </c>
      <c r="D851" s="38" t="s">
        <v>36</v>
      </c>
      <c r="E851" s="39"/>
      <c r="F851" s="40"/>
      <c r="G851" s="41"/>
      <c r="H851" s="42"/>
    </row>
    <row r="852" spans="3:8">
      <c r="C852" s="39" t="s">
        <v>129</v>
      </c>
      <c r="D852" s="71" t="s">
        <v>200</v>
      </c>
      <c r="E852" s="39" t="s">
        <v>51</v>
      </c>
      <c r="F852" s="60">
        <v>1.2724308682298</v>
      </c>
      <c r="G852" s="46">
        <v>78.795486071171297</v>
      </c>
      <c r="H852" s="47">
        <v>100.26180875413</v>
      </c>
    </row>
    <row r="853" spans="3:8">
      <c r="C853" s="39" t="s">
        <v>49</v>
      </c>
      <c r="D853" s="65" t="s">
        <v>201</v>
      </c>
      <c r="E853" s="39" t="s">
        <v>51</v>
      </c>
      <c r="F853" s="60">
        <v>0.77977438117236098</v>
      </c>
      <c r="G853" s="46">
        <v>45.411750977784699</v>
      </c>
      <c r="H853" s="47">
        <v>35.410920016655403</v>
      </c>
    </row>
    <row r="854" spans="3:8">
      <c r="C854" s="39" t="s">
        <v>129</v>
      </c>
      <c r="D854" s="65" t="s">
        <v>202</v>
      </c>
      <c r="E854" s="108" t="s">
        <v>51</v>
      </c>
      <c r="F854" s="60">
        <v>0.85740822946434303</v>
      </c>
      <c r="G854" s="46">
        <v>72.4420787409273</v>
      </c>
      <c r="H854" s="47">
        <v>62.112434471975</v>
      </c>
    </row>
    <row r="855" spans="3:8">
      <c r="C855" s="39" t="s">
        <v>49</v>
      </c>
      <c r="D855" s="65" t="s">
        <v>160</v>
      </c>
      <c r="E855" s="39" t="s">
        <v>51</v>
      </c>
      <c r="F855" s="60">
        <v>0.66986420742153596</v>
      </c>
      <c r="G855" s="46">
        <v>74.717676591289106</v>
      </c>
      <c r="H855" s="47">
        <v>50.0506972102025</v>
      </c>
    </row>
    <row r="856" spans="3:8">
      <c r="C856" s="39" t="s">
        <v>129</v>
      </c>
      <c r="D856" s="65" t="s">
        <v>203</v>
      </c>
      <c r="E856" s="39" t="s">
        <v>51</v>
      </c>
      <c r="F856" s="60">
        <v>0.66727962843627298</v>
      </c>
      <c r="G856" s="46">
        <v>106.731710416406</v>
      </c>
      <c r="H856" s="47">
        <v>71.219896069027101</v>
      </c>
    </row>
    <row r="857" spans="3:8">
      <c r="C857" s="43"/>
      <c r="D857" s="65"/>
      <c r="E857" s="39"/>
      <c r="F857" s="60"/>
      <c r="G857" s="46">
        <v>0</v>
      </c>
      <c r="H857" s="47">
        <v>0</v>
      </c>
    </row>
    <row r="858" spans="3:8">
      <c r="C858" s="43"/>
      <c r="D858" s="65"/>
      <c r="E858" s="39"/>
      <c r="F858" s="75"/>
      <c r="G858" s="46">
        <v>0</v>
      </c>
      <c r="H858" s="47">
        <v>0</v>
      </c>
    </row>
    <row r="859" spans="3:8">
      <c r="C859" s="51" t="s">
        <v>37</v>
      </c>
      <c r="D859" s="51"/>
      <c r="E859" s="51"/>
      <c r="F859" s="52"/>
      <c r="G859" s="51"/>
      <c r="H859" s="53">
        <v>319.05575652199002</v>
      </c>
    </row>
    <row r="860" spans="3:8">
      <c r="C860" s="54" t="s">
        <v>38</v>
      </c>
      <c r="D860" s="55" t="s">
        <v>39</v>
      </c>
      <c r="E860" s="56"/>
      <c r="F860" s="57"/>
      <c r="G860" s="58"/>
      <c r="H860" s="58"/>
    </row>
    <row r="861" spans="3:8">
      <c r="C861" s="39" t="s">
        <v>53</v>
      </c>
      <c r="D861" s="76" t="s">
        <v>136</v>
      </c>
      <c r="E861" s="39" t="s">
        <v>28</v>
      </c>
      <c r="F861" s="105">
        <v>0.48749999999999999</v>
      </c>
      <c r="G861" s="62">
        <v>22.333902956539301</v>
      </c>
      <c r="H861" s="61">
        <v>10.8877776913129</v>
      </c>
    </row>
    <row r="862" spans="3:8">
      <c r="C862" s="39"/>
      <c r="D862" s="76"/>
      <c r="E862" s="39"/>
      <c r="F862" s="115"/>
      <c r="G862" s="47">
        <v>0</v>
      </c>
      <c r="H862" s="61">
        <v>0</v>
      </c>
    </row>
    <row r="863" spans="3:8">
      <c r="C863" s="39"/>
      <c r="D863" s="76"/>
      <c r="E863" s="39"/>
      <c r="F863" s="116"/>
      <c r="G863" s="47">
        <v>0</v>
      </c>
      <c r="H863" s="61">
        <v>0</v>
      </c>
    </row>
    <row r="864" spans="3:8">
      <c r="C864" s="39"/>
      <c r="D864" s="76"/>
      <c r="E864" s="39"/>
      <c r="F864" s="40"/>
      <c r="G864" s="47">
        <v>0</v>
      </c>
      <c r="H864" s="61">
        <v>0</v>
      </c>
    </row>
    <row r="865" spans="3:8">
      <c r="C865" s="39"/>
      <c r="D865" s="76"/>
      <c r="E865" s="39"/>
      <c r="F865" s="40"/>
      <c r="G865" s="47">
        <v>0</v>
      </c>
      <c r="H865" s="61">
        <v>0</v>
      </c>
    </row>
    <row r="866" spans="3:8">
      <c r="C866" s="39"/>
      <c r="D866" s="76"/>
      <c r="E866" s="39"/>
      <c r="F866" s="40"/>
      <c r="G866" s="47">
        <v>0</v>
      </c>
      <c r="H866" s="61">
        <v>0</v>
      </c>
    </row>
    <row r="867" spans="3:8">
      <c r="C867" s="39"/>
      <c r="D867" s="76"/>
      <c r="E867" s="39"/>
      <c r="F867" s="40"/>
      <c r="G867" s="62">
        <v>0</v>
      </c>
      <c r="H867" s="61">
        <v>0</v>
      </c>
    </row>
    <row r="868" spans="3:8">
      <c r="C868" s="39"/>
      <c r="D868" s="44"/>
      <c r="E868" s="39"/>
      <c r="F868" s="49"/>
      <c r="G868" s="47">
        <v>0</v>
      </c>
      <c r="H868" s="61">
        <v>0</v>
      </c>
    </row>
    <row r="869" spans="3:8">
      <c r="C869" s="51" t="s">
        <v>40</v>
      </c>
      <c r="D869" s="51"/>
      <c r="E869" s="51"/>
      <c r="F869" s="52"/>
      <c r="G869" s="51"/>
      <c r="H869" s="53">
        <v>10.8877776913129</v>
      </c>
    </row>
    <row r="870" spans="3:8">
      <c r="C870" s="54" t="s">
        <v>41</v>
      </c>
      <c r="D870" s="55" t="s">
        <v>42</v>
      </c>
      <c r="E870" s="56"/>
      <c r="F870" s="63"/>
      <c r="G870" s="64"/>
      <c r="H870" s="64">
        <v>0</v>
      </c>
    </row>
    <row r="871" spans="3:8">
      <c r="C871" s="45" t="s">
        <v>77</v>
      </c>
      <c r="D871" s="65" t="s">
        <v>204</v>
      </c>
      <c r="E871" s="45" t="s">
        <v>28</v>
      </c>
      <c r="F871" s="40">
        <v>1</v>
      </c>
      <c r="G871" s="50">
        <v>74.382045711606693</v>
      </c>
      <c r="H871" s="50">
        <v>74.382045711606693</v>
      </c>
    </row>
    <row r="872" spans="3:8">
      <c r="C872" s="45" t="s">
        <v>77</v>
      </c>
      <c r="D872" s="65" t="s">
        <v>205</v>
      </c>
      <c r="E872" s="45" t="s">
        <v>55</v>
      </c>
      <c r="F872" s="40">
        <v>1</v>
      </c>
      <c r="G872" s="50">
        <v>64.228437968658596</v>
      </c>
      <c r="H872" s="50">
        <v>64.228437968658596</v>
      </c>
    </row>
    <row r="873" spans="3:8">
      <c r="C873" s="45"/>
      <c r="D873" s="65"/>
      <c r="E873" s="45"/>
      <c r="F873" s="40"/>
      <c r="G873" s="50"/>
      <c r="H873" s="50"/>
    </row>
    <row r="874" spans="3:8">
      <c r="C874" s="45"/>
      <c r="D874" s="65"/>
      <c r="E874" s="45"/>
      <c r="F874" s="40"/>
      <c r="G874" s="50"/>
      <c r="H874" s="50"/>
    </row>
    <row r="875" spans="3:8">
      <c r="C875" s="45"/>
      <c r="D875" s="65"/>
      <c r="E875" s="45"/>
      <c r="F875" s="40"/>
      <c r="G875" s="50">
        <v>0</v>
      </c>
      <c r="H875" s="61">
        <v>0</v>
      </c>
    </row>
    <row r="876" spans="3:8">
      <c r="C876" s="45"/>
      <c r="D876" s="65"/>
      <c r="E876" s="45"/>
      <c r="F876" s="40"/>
      <c r="G876" s="50">
        <v>0</v>
      </c>
      <c r="H876" s="61">
        <v>0</v>
      </c>
    </row>
    <row r="877" spans="3:8">
      <c r="C877" s="45"/>
      <c r="D877" s="65"/>
      <c r="E877" s="45"/>
      <c r="F877" s="40"/>
      <c r="G877" s="50">
        <v>0</v>
      </c>
      <c r="H877" s="61">
        <v>0</v>
      </c>
    </row>
    <row r="878" spans="3:8">
      <c r="C878" s="45"/>
      <c r="D878" s="65"/>
      <c r="E878" s="45"/>
      <c r="F878" s="40"/>
      <c r="G878" s="50">
        <v>0</v>
      </c>
      <c r="H878" s="61">
        <v>0</v>
      </c>
    </row>
    <row r="879" spans="3:8">
      <c r="C879" s="51" t="s">
        <v>43</v>
      </c>
      <c r="D879" s="51"/>
      <c r="E879" s="51"/>
      <c r="F879" s="52"/>
      <c r="G879" s="51"/>
      <c r="H879" s="53">
        <v>138.61048368026499</v>
      </c>
    </row>
    <row r="880" spans="3:8" ht="15.75">
      <c r="C880" s="66" t="s">
        <v>44</v>
      </c>
      <c r="D880" s="67"/>
      <c r="E880" s="67"/>
      <c r="F880" s="68"/>
      <c r="G880" s="69"/>
      <c r="H880" s="53">
        <v>468.55401789356802</v>
      </c>
    </row>
    <row r="881" spans="3:8" ht="15.75">
      <c r="C881" s="66" t="s">
        <v>45</v>
      </c>
      <c r="D881" s="67"/>
      <c r="E881" s="67"/>
      <c r="F881" s="68"/>
      <c r="G881" s="69"/>
      <c r="H881" s="70">
        <v>115.428952452473</v>
      </c>
    </row>
    <row r="882" spans="3:8" ht="15.75">
      <c r="C882" s="66" t="s">
        <v>46</v>
      </c>
      <c r="D882" s="67"/>
      <c r="E882" s="67"/>
      <c r="F882" s="68"/>
      <c r="G882" s="69"/>
      <c r="H882" s="53">
        <v>583.98</v>
      </c>
    </row>
    <row r="883" spans="3:8" ht="15.75">
      <c r="C883" s="110"/>
      <c r="D883" s="110"/>
      <c r="E883" s="110"/>
      <c r="F883" s="111"/>
      <c r="G883" s="110"/>
      <c r="H883" s="112"/>
    </row>
    <row r="884" spans="3:8">
      <c r="C884" s="22" t="s">
        <v>23</v>
      </c>
      <c r="D884" s="23" t="s">
        <v>210</v>
      </c>
      <c r="E884" s="23"/>
      <c r="F884" s="24"/>
      <c r="G884" s="25"/>
      <c r="H884" s="26"/>
    </row>
    <row r="885" spans="3:8">
      <c r="C885" s="27" t="s">
        <v>25</v>
      </c>
      <c r="D885" s="28" t="s">
        <v>211</v>
      </c>
      <c r="E885" s="29"/>
      <c r="F885" s="30" t="s">
        <v>27</v>
      </c>
      <c r="G885" s="31" t="s">
        <v>199</v>
      </c>
      <c r="H885" s="32">
        <v>625.11</v>
      </c>
    </row>
    <row r="886" spans="3:8">
      <c r="C886" s="33" t="s">
        <v>29</v>
      </c>
      <c r="D886" s="33" t="s">
        <v>30</v>
      </c>
      <c r="E886" s="33" t="s">
        <v>31</v>
      </c>
      <c r="F886" s="34" t="s">
        <v>32</v>
      </c>
      <c r="G886" s="35" t="s">
        <v>33</v>
      </c>
      <c r="H886" s="35" t="s">
        <v>34</v>
      </c>
    </row>
    <row r="887" spans="3:8">
      <c r="C887" s="33"/>
      <c r="D887" s="33"/>
      <c r="E887" s="33"/>
      <c r="F887" s="34"/>
      <c r="G887" s="36"/>
      <c r="H887" s="36"/>
    </row>
    <row r="888" spans="3:8">
      <c r="C888" s="37" t="s">
        <v>35</v>
      </c>
      <c r="D888" s="38" t="s">
        <v>36</v>
      </c>
      <c r="E888" s="39"/>
      <c r="F888" s="40"/>
      <c r="G888" s="41"/>
      <c r="H888" s="42"/>
    </row>
    <row r="889" spans="3:8">
      <c r="C889" s="39" t="s">
        <v>129</v>
      </c>
      <c r="D889" s="71" t="s">
        <v>200</v>
      </c>
      <c r="E889" s="39" t="s">
        <v>51</v>
      </c>
      <c r="F889" s="60">
        <v>1.3996739550527899</v>
      </c>
      <c r="G889" s="46">
        <v>78.795486071171297</v>
      </c>
      <c r="H889" s="47">
        <v>110.28798962954301</v>
      </c>
    </row>
    <row r="890" spans="3:8">
      <c r="C890" s="39" t="s">
        <v>49</v>
      </c>
      <c r="D890" s="65" t="s">
        <v>201</v>
      </c>
      <c r="E890" s="39" t="s">
        <v>51</v>
      </c>
      <c r="F890" s="60">
        <v>0.85775181928959698</v>
      </c>
      <c r="G890" s="46">
        <v>45.411750977784699</v>
      </c>
      <c r="H890" s="47">
        <v>38.9520120183209</v>
      </c>
    </row>
    <row r="891" spans="3:8">
      <c r="C891" s="39" t="s">
        <v>129</v>
      </c>
      <c r="D891" s="65" t="s">
        <v>202</v>
      </c>
      <c r="E891" s="108" t="s">
        <v>51</v>
      </c>
      <c r="F891" s="60">
        <v>0.94314905241077895</v>
      </c>
      <c r="G891" s="46">
        <v>72.4420787409273</v>
      </c>
      <c r="H891" s="47">
        <v>68.323677919172596</v>
      </c>
    </row>
    <row r="892" spans="3:8">
      <c r="C892" s="39" t="s">
        <v>49</v>
      </c>
      <c r="D892" s="65" t="s">
        <v>160</v>
      </c>
      <c r="E892" s="39" t="s">
        <v>51</v>
      </c>
      <c r="F892" s="60">
        <v>0.73685062816368896</v>
      </c>
      <c r="G892" s="46">
        <v>74.717676591289106</v>
      </c>
      <c r="H892" s="47">
        <v>55.055766931222699</v>
      </c>
    </row>
    <row r="893" spans="3:8">
      <c r="C893" s="39" t="s">
        <v>129</v>
      </c>
      <c r="D893" s="65" t="s">
        <v>203</v>
      </c>
      <c r="E893" s="39" t="s">
        <v>51</v>
      </c>
      <c r="F893" s="60">
        <v>0.73400759127990001</v>
      </c>
      <c r="G893" s="46">
        <v>106.731710416406</v>
      </c>
      <c r="H893" s="47">
        <v>78.341885675929703</v>
      </c>
    </row>
    <row r="894" spans="3:8">
      <c r="C894" s="43"/>
      <c r="D894" s="65"/>
      <c r="E894" s="39"/>
      <c r="F894" s="60"/>
      <c r="G894" s="46">
        <v>0</v>
      </c>
      <c r="H894" s="47">
        <v>0</v>
      </c>
    </row>
    <row r="895" spans="3:8">
      <c r="C895" s="43"/>
      <c r="D895" s="65"/>
      <c r="E895" s="39"/>
      <c r="F895" s="75"/>
      <c r="G895" s="46">
        <v>0</v>
      </c>
      <c r="H895" s="47">
        <v>0</v>
      </c>
    </row>
    <row r="896" spans="3:8">
      <c r="C896" s="51" t="s">
        <v>37</v>
      </c>
      <c r="D896" s="51"/>
      <c r="E896" s="51"/>
      <c r="F896" s="52"/>
      <c r="G896" s="51"/>
      <c r="H896" s="53">
        <v>350.96133217418901</v>
      </c>
    </row>
    <row r="897" spans="3:8">
      <c r="C897" s="54" t="s">
        <v>38</v>
      </c>
      <c r="D897" s="55" t="s">
        <v>39</v>
      </c>
      <c r="E897" s="56"/>
      <c r="F897" s="57"/>
      <c r="G897" s="58"/>
      <c r="H897" s="58"/>
    </row>
    <row r="898" spans="3:8">
      <c r="C898" s="39" t="s">
        <v>53</v>
      </c>
      <c r="D898" s="76" t="s">
        <v>136</v>
      </c>
      <c r="E898" s="39" t="s">
        <v>28</v>
      </c>
      <c r="F898" s="105">
        <v>0.48749999999999999</v>
      </c>
      <c r="G898" s="62">
        <v>24.567293252193299</v>
      </c>
      <c r="H898" s="61">
        <v>11.976555460444199</v>
      </c>
    </row>
    <row r="899" spans="3:8">
      <c r="C899" s="39"/>
      <c r="D899" s="76"/>
      <c r="E899" s="39"/>
      <c r="F899" s="115"/>
      <c r="G899" s="47">
        <v>0</v>
      </c>
      <c r="H899" s="61">
        <v>0</v>
      </c>
    </row>
    <row r="900" spans="3:8">
      <c r="C900" s="39"/>
      <c r="D900" s="76"/>
      <c r="E900" s="39"/>
      <c r="F900" s="116"/>
      <c r="G900" s="47">
        <v>0</v>
      </c>
      <c r="H900" s="61">
        <v>0</v>
      </c>
    </row>
    <row r="901" spans="3:8">
      <c r="C901" s="39"/>
      <c r="D901" s="76"/>
      <c r="E901" s="39"/>
      <c r="F901" s="40"/>
      <c r="G901" s="47">
        <v>0</v>
      </c>
      <c r="H901" s="61">
        <v>0</v>
      </c>
    </row>
    <row r="902" spans="3:8">
      <c r="C902" s="39"/>
      <c r="D902" s="76"/>
      <c r="E902" s="39"/>
      <c r="F902" s="40"/>
      <c r="G902" s="47">
        <v>0</v>
      </c>
      <c r="H902" s="61">
        <v>0</v>
      </c>
    </row>
    <row r="903" spans="3:8">
      <c r="C903" s="39"/>
      <c r="D903" s="76"/>
      <c r="E903" s="39"/>
      <c r="F903" s="40"/>
      <c r="G903" s="47">
        <v>0</v>
      </c>
      <c r="H903" s="61">
        <v>0</v>
      </c>
    </row>
    <row r="904" spans="3:8">
      <c r="C904" s="39"/>
      <c r="D904" s="76"/>
      <c r="E904" s="39"/>
      <c r="F904" s="40"/>
      <c r="G904" s="62">
        <v>0</v>
      </c>
      <c r="H904" s="61">
        <v>0</v>
      </c>
    </row>
    <row r="905" spans="3:8">
      <c r="C905" s="39"/>
      <c r="D905" s="44"/>
      <c r="E905" s="39"/>
      <c r="F905" s="49"/>
      <c r="G905" s="47">
        <v>0</v>
      </c>
      <c r="H905" s="61">
        <v>0</v>
      </c>
    </row>
    <row r="906" spans="3:8">
      <c r="C906" s="51" t="s">
        <v>40</v>
      </c>
      <c r="D906" s="51"/>
      <c r="E906" s="51"/>
      <c r="F906" s="52"/>
      <c r="G906" s="51"/>
      <c r="H906" s="53">
        <v>11.976555460444199</v>
      </c>
    </row>
    <row r="907" spans="3:8">
      <c r="C907" s="54" t="s">
        <v>41</v>
      </c>
      <c r="D907" s="55" t="s">
        <v>42</v>
      </c>
      <c r="E907" s="56"/>
      <c r="F907" s="63"/>
      <c r="G907" s="64"/>
      <c r="H907" s="64">
        <v>0</v>
      </c>
    </row>
    <row r="908" spans="3:8">
      <c r="C908" s="45" t="s">
        <v>77</v>
      </c>
      <c r="D908" s="65" t="s">
        <v>204</v>
      </c>
      <c r="E908" s="45" t="s">
        <v>28</v>
      </c>
      <c r="F908" s="40">
        <v>1</v>
      </c>
      <c r="G908" s="50">
        <v>74.382045711606693</v>
      </c>
      <c r="H908" s="50">
        <v>74.382045711606693</v>
      </c>
    </row>
    <row r="909" spans="3:8">
      <c r="C909" s="45" t="s">
        <v>77</v>
      </c>
      <c r="D909" s="65" t="s">
        <v>205</v>
      </c>
      <c r="E909" s="45" t="s">
        <v>55</v>
      </c>
      <c r="F909" s="40">
        <v>1</v>
      </c>
      <c r="G909" s="50">
        <v>64.228437968658596</v>
      </c>
      <c r="H909" s="50">
        <v>64.228437968658596</v>
      </c>
    </row>
    <row r="910" spans="3:8">
      <c r="C910" s="45"/>
      <c r="D910" s="65"/>
      <c r="E910" s="45"/>
      <c r="F910" s="40"/>
      <c r="G910" s="50"/>
      <c r="H910" s="50"/>
    </row>
    <row r="911" spans="3:8">
      <c r="C911" s="45"/>
      <c r="D911" s="65"/>
      <c r="E911" s="45"/>
      <c r="F911" s="40"/>
      <c r="G911" s="50"/>
      <c r="H911" s="50"/>
    </row>
    <row r="912" spans="3:8">
      <c r="C912" s="45"/>
      <c r="D912" s="65"/>
      <c r="E912" s="45"/>
      <c r="F912" s="40"/>
      <c r="G912" s="50">
        <v>0</v>
      </c>
      <c r="H912" s="61">
        <v>0</v>
      </c>
    </row>
    <row r="913" spans="3:8">
      <c r="C913" s="45"/>
      <c r="D913" s="65"/>
      <c r="E913" s="45"/>
      <c r="F913" s="40"/>
      <c r="G913" s="50">
        <v>0</v>
      </c>
      <c r="H913" s="61">
        <v>0</v>
      </c>
    </row>
    <row r="914" spans="3:8">
      <c r="C914" s="45"/>
      <c r="D914" s="65"/>
      <c r="E914" s="45"/>
      <c r="F914" s="40"/>
      <c r="G914" s="50">
        <v>0</v>
      </c>
      <c r="H914" s="61">
        <v>0</v>
      </c>
    </row>
    <row r="915" spans="3:8">
      <c r="C915" s="45"/>
      <c r="D915" s="65"/>
      <c r="E915" s="45"/>
      <c r="F915" s="40"/>
      <c r="G915" s="50">
        <v>0</v>
      </c>
      <c r="H915" s="61">
        <v>0</v>
      </c>
    </row>
    <row r="916" spans="3:8">
      <c r="C916" s="51" t="s">
        <v>43</v>
      </c>
      <c r="D916" s="51"/>
      <c r="E916" s="51"/>
      <c r="F916" s="52"/>
      <c r="G916" s="51"/>
      <c r="H916" s="53">
        <v>138.61048368026499</v>
      </c>
    </row>
    <row r="917" spans="3:8" ht="15.75">
      <c r="C917" s="66" t="s">
        <v>44</v>
      </c>
      <c r="D917" s="67"/>
      <c r="E917" s="67"/>
      <c r="F917" s="68"/>
      <c r="G917" s="69"/>
      <c r="H917" s="53">
        <v>501.54837131489899</v>
      </c>
    </row>
    <row r="918" spans="3:8" ht="15.75">
      <c r="C918" s="66" t="s">
        <v>45</v>
      </c>
      <c r="D918" s="67"/>
      <c r="E918" s="67"/>
      <c r="F918" s="68"/>
      <c r="G918" s="69"/>
      <c r="H918" s="70">
        <v>123.55715860764001</v>
      </c>
    </row>
    <row r="919" spans="3:8" ht="15.75">
      <c r="C919" s="66" t="s">
        <v>46</v>
      </c>
      <c r="D919" s="67"/>
      <c r="E919" s="67"/>
      <c r="F919" s="68"/>
      <c r="G919" s="69"/>
      <c r="H919" s="53">
        <v>625.11</v>
      </c>
    </row>
    <row r="920" spans="3:8" ht="15.75">
      <c r="C920" s="110"/>
      <c r="D920" s="110"/>
      <c r="E920" s="110"/>
      <c r="F920" s="111"/>
      <c r="G920" s="110"/>
      <c r="H920" s="112"/>
    </row>
    <row r="921" spans="3:8">
      <c r="C921" s="22" t="s">
        <v>23</v>
      </c>
      <c r="D921" s="23" t="s">
        <v>212</v>
      </c>
      <c r="E921" s="23"/>
      <c r="F921" s="24"/>
      <c r="G921" s="25"/>
      <c r="H921" s="26"/>
    </row>
    <row r="922" spans="3:8">
      <c r="C922" s="27" t="s">
        <v>25</v>
      </c>
      <c r="D922" s="28" t="s">
        <v>213</v>
      </c>
      <c r="E922" s="29"/>
      <c r="F922" s="30" t="s">
        <v>27</v>
      </c>
      <c r="G922" s="31" t="s">
        <v>199</v>
      </c>
      <c r="H922" s="32">
        <v>670.34</v>
      </c>
    </row>
    <row r="923" spans="3:8">
      <c r="C923" s="33" t="s">
        <v>29</v>
      </c>
      <c r="D923" s="33" t="s">
        <v>30</v>
      </c>
      <c r="E923" s="33" t="s">
        <v>31</v>
      </c>
      <c r="F923" s="34" t="s">
        <v>32</v>
      </c>
      <c r="G923" s="35" t="s">
        <v>33</v>
      </c>
      <c r="H923" s="35" t="s">
        <v>34</v>
      </c>
    </row>
    <row r="924" spans="3:8">
      <c r="C924" s="33"/>
      <c r="D924" s="33"/>
      <c r="E924" s="33"/>
      <c r="F924" s="34"/>
      <c r="G924" s="36"/>
      <c r="H924" s="36"/>
    </row>
    <row r="925" spans="3:8">
      <c r="C925" s="37" t="s">
        <v>35</v>
      </c>
      <c r="D925" s="38" t="s">
        <v>36</v>
      </c>
      <c r="E925" s="39"/>
      <c r="F925" s="40"/>
      <c r="G925" s="41"/>
      <c r="H925" s="42"/>
    </row>
    <row r="926" spans="3:8">
      <c r="C926" s="39" t="s">
        <v>129</v>
      </c>
      <c r="D926" s="71" t="s">
        <v>200</v>
      </c>
      <c r="E926" s="39" t="s">
        <v>51</v>
      </c>
      <c r="F926" s="60">
        <v>1.53964135055806</v>
      </c>
      <c r="G926" s="46">
        <v>78.795486071171297</v>
      </c>
      <c r="H926" s="47">
        <v>121.31678859249701</v>
      </c>
    </row>
    <row r="927" spans="3:8">
      <c r="C927" s="39" t="s">
        <v>49</v>
      </c>
      <c r="D927" s="65" t="s">
        <v>201</v>
      </c>
      <c r="E927" s="39" t="s">
        <v>51</v>
      </c>
      <c r="F927" s="60">
        <v>0.94352700121855104</v>
      </c>
      <c r="G927" s="46">
        <v>45.411750977784699</v>
      </c>
      <c r="H927" s="47">
        <v>42.847213220152803</v>
      </c>
    </row>
    <row r="928" spans="3:8">
      <c r="C928" s="39" t="s">
        <v>129</v>
      </c>
      <c r="D928" s="65" t="s">
        <v>202</v>
      </c>
      <c r="E928" s="108" t="s">
        <v>51</v>
      </c>
      <c r="F928" s="60">
        <v>1.0374639576518601</v>
      </c>
      <c r="G928" s="46">
        <v>72.4420787409273</v>
      </c>
      <c r="H928" s="47">
        <v>75.156045711090101</v>
      </c>
    </row>
    <row r="929" spans="3:8">
      <c r="C929" s="39" t="s">
        <v>49</v>
      </c>
      <c r="D929" s="65" t="s">
        <v>160</v>
      </c>
      <c r="E929" s="39" t="s">
        <v>51</v>
      </c>
      <c r="F929" s="60">
        <v>0.81053569098005696</v>
      </c>
      <c r="G929" s="46">
        <v>74.717676591289106</v>
      </c>
      <c r="H929" s="47">
        <v>60.5613436243449</v>
      </c>
    </row>
    <row r="930" spans="3:8">
      <c r="C930" s="39" t="s">
        <v>129</v>
      </c>
      <c r="D930" s="65" t="s">
        <v>203</v>
      </c>
      <c r="E930" s="39" t="s">
        <v>51</v>
      </c>
      <c r="F930" s="60">
        <v>0.80740835040789105</v>
      </c>
      <c r="G930" s="46">
        <v>106.731710416406</v>
      </c>
      <c r="H930" s="47">
        <v>86.176074243522805</v>
      </c>
    </row>
    <row r="931" spans="3:8">
      <c r="C931" s="43"/>
      <c r="D931" s="65"/>
      <c r="E931" s="39"/>
      <c r="F931" s="60"/>
      <c r="G931" s="46">
        <v>0</v>
      </c>
      <c r="H931" s="47">
        <v>0</v>
      </c>
    </row>
    <row r="932" spans="3:8">
      <c r="C932" s="43"/>
      <c r="D932" s="65"/>
      <c r="E932" s="39"/>
      <c r="F932" s="75"/>
      <c r="G932" s="46">
        <v>0</v>
      </c>
      <c r="H932" s="47">
        <v>0</v>
      </c>
    </row>
    <row r="933" spans="3:8">
      <c r="C933" s="51" t="s">
        <v>37</v>
      </c>
      <c r="D933" s="51"/>
      <c r="E933" s="51"/>
      <c r="F933" s="52"/>
      <c r="G933" s="51"/>
      <c r="H933" s="53">
        <v>386.05746539160799</v>
      </c>
    </row>
    <row r="934" spans="3:8">
      <c r="C934" s="54" t="s">
        <v>38</v>
      </c>
      <c r="D934" s="55" t="s">
        <v>39</v>
      </c>
      <c r="E934" s="56"/>
      <c r="F934" s="57"/>
      <c r="G934" s="58"/>
      <c r="H934" s="58"/>
    </row>
    <row r="935" spans="3:8">
      <c r="C935" s="39" t="s">
        <v>53</v>
      </c>
      <c r="D935" s="76" t="s">
        <v>136</v>
      </c>
      <c r="E935" s="39" t="s">
        <v>28</v>
      </c>
      <c r="F935" s="105">
        <v>0.48749999999999999</v>
      </c>
      <c r="G935" s="62">
        <v>27.024022577412499</v>
      </c>
      <c r="H935" s="61">
        <v>13.1742110064886</v>
      </c>
    </row>
    <row r="936" spans="3:8">
      <c r="C936" s="39"/>
      <c r="D936" s="76"/>
      <c r="E936" s="39"/>
      <c r="F936" s="115"/>
      <c r="G936" s="47">
        <v>0</v>
      </c>
      <c r="H936" s="61">
        <v>0</v>
      </c>
    </row>
    <row r="937" spans="3:8">
      <c r="C937" s="39"/>
      <c r="D937" s="76"/>
      <c r="E937" s="39"/>
      <c r="F937" s="116"/>
      <c r="G937" s="47">
        <v>0</v>
      </c>
      <c r="H937" s="61">
        <v>0</v>
      </c>
    </row>
    <row r="938" spans="3:8">
      <c r="C938" s="39"/>
      <c r="D938" s="76"/>
      <c r="E938" s="39"/>
      <c r="F938" s="40"/>
      <c r="G938" s="47">
        <v>0</v>
      </c>
      <c r="H938" s="61">
        <v>0</v>
      </c>
    </row>
    <row r="939" spans="3:8">
      <c r="C939" s="39"/>
      <c r="D939" s="76"/>
      <c r="E939" s="39"/>
      <c r="F939" s="40"/>
      <c r="G939" s="47">
        <v>0</v>
      </c>
      <c r="H939" s="61">
        <v>0</v>
      </c>
    </row>
    <row r="940" spans="3:8">
      <c r="C940" s="39"/>
      <c r="D940" s="76"/>
      <c r="E940" s="39"/>
      <c r="F940" s="40"/>
      <c r="G940" s="47">
        <v>0</v>
      </c>
      <c r="H940" s="61">
        <v>0</v>
      </c>
    </row>
    <row r="941" spans="3:8">
      <c r="C941" s="39"/>
      <c r="D941" s="76"/>
      <c r="E941" s="39"/>
      <c r="F941" s="40"/>
      <c r="G941" s="62">
        <v>0</v>
      </c>
      <c r="H941" s="61">
        <v>0</v>
      </c>
    </row>
    <row r="942" spans="3:8">
      <c r="C942" s="39"/>
      <c r="D942" s="44"/>
      <c r="E942" s="39"/>
      <c r="F942" s="49"/>
      <c r="G942" s="47">
        <v>0</v>
      </c>
      <c r="H942" s="61">
        <v>0</v>
      </c>
    </row>
    <row r="943" spans="3:8">
      <c r="C943" s="51" t="s">
        <v>40</v>
      </c>
      <c r="D943" s="51"/>
      <c r="E943" s="51"/>
      <c r="F943" s="52"/>
      <c r="G943" s="51"/>
      <c r="H943" s="53">
        <v>13.1742110064886</v>
      </c>
    </row>
    <row r="944" spans="3:8">
      <c r="C944" s="54" t="s">
        <v>41</v>
      </c>
      <c r="D944" s="55" t="s">
        <v>42</v>
      </c>
      <c r="E944" s="56"/>
      <c r="F944" s="63"/>
      <c r="G944" s="64"/>
      <c r="H944" s="64">
        <v>0</v>
      </c>
    </row>
    <row r="945" spans="3:8">
      <c r="C945" s="45" t="s">
        <v>77</v>
      </c>
      <c r="D945" s="65" t="s">
        <v>204</v>
      </c>
      <c r="E945" s="45" t="s">
        <v>28</v>
      </c>
      <c r="F945" s="40">
        <v>1</v>
      </c>
      <c r="G945" s="50">
        <v>74.382045711606693</v>
      </c>
      <c r="H945" s="50">
        <v>74.382045711606693</v>
      </c>
    </row>
    <row r="946" spans="3:8">
      <c r="C946" s="45" t="s">
        <v>77</v>
      </c>
      <c r="D946" s="65" t="s">
        <v>205</v>
      </c>
      <c r="E946" s="45" t="s">
        <v>55</v>
      </c>
      <c r="F946" s="40">
        <v>1</v>
      </c>
      <c r="G946" s="50">
        <v>64.228437968658596</v>
      </c>
      <c r="H946" s="50">
        <v>64.228437968658596</v>
      </c>
    </row>
    <row r="947" spans="3:8">
      <c r="C947" s="45"/>
      <c r="D947" s="65"/>
      <c r="E947" s="45"/>
      <c r="F947" s="40"/>
      <c r="G947" s="50"/>
      <c r="H947" s="50"/>
    </row>
    <row r="948" spans="3:8">
      <c r="C948" s="45"/>
      <c r="D948" s="65"/>
      <c r="E948" s="45"/>
      <c r="F948" s="40"/>
      <c r="G948" s="50"/>
      <c r="H948" s="50"/>
    </row>
    <row r="949" spans="3:8">
      <c r="C949" s="45"/>
      <c r="D949" s="65"/>
      <c r="E949" s="45"/>
      <c r="F949" s="40"/>
      <c r="G949" s="50">
        <v>0</v>
      </c>
      <c r="H949" s="61">
        <v>0</v>
      </c>
    </row>
    <row r="950" spans="3:8">
      <c r="C950" s="45"/>
      <c r="D950" s="65"/>
      <c r="E950" s="45"/>
      <c r="F950" s="40"/>
      <c r="G950" s="50">
        <v>0</v>
      </c>
      <c r="H950" s="61">
        <v>0</v>
      </c>
    </row>
    <row r="951" spans="3:8">
      <c r="C951" s="45"/>
      <c r="D951" s="65"/>
      <c r="E951" s="45"/>
      <c r="F951" s="40"/>
      <c r="G951" s="50">
        <v>0</v>
      </c>
      <c r="H951" s="61">
        <v>0</v>
      </c>
    </row>
    <row r="952" spans="3:8">
      <c r="C952" s="45"/>
      <c r="D952" s="65"/>
      <c r="E952" s="45"/>
      <c r="F952" s="40"/>
      <c r="G952" s="50">
        <v>0</v>
      </c>
      <c r="H952" s="61">
        <v>0</v>
      </c>
    </row>
    <row r="953" spans="3:8">
      <c r="C953" s="51" t="s">
        <v>43</v>
      </c>
      <c r="D953" s="51"/>
      <c r="E953" s="51"/>
      <c r="F953" s="52"/>
      <c r="G953" s="51"/>
      <c r="H953" s="53">
        <v>138.61048368026499</v>
      </c>
    </row>
    <row r="954" spans="3:8" ht="15.75">
      <c r="C954" s="66" t="s">
        <v>44</v>
      </c>
      <c r="D954" s="67"/>
      <c r="E954" s="67"/>
      <c r="F954" s="68"/>
      <c r="G954" s="69"/>
      <c r="H954" s="53">
        <v>537.84216007836096</v>
      </c>
    </row>
    <row r="955" spans="3:8" ht="15.75">
      <c r="C955" s="66" t="s">
        <v>45</v>
      </c>
      <c r="D955" s="67"/>
      <c r="E955" s="67"/>
      <c r="F955" s="68"/>
      <c r="G955" s="69"/>
      <c r="H955" s="70">
        <v>132.498185378324</v>
      </c>
    </row>
    <row r="956" spans="3:8" ht="15.75">
      <c r="C956" s="66" t="s">
        <v>46</v>
      </c>
      <c r="D956" s="67"/>
      <c r="E956" s="67"/>
      <c r="F956" s="68"/>
      <c r="G956" s="69"/>
      <c r="H956" s="53">
        <v>670.34</v>
      </c>
    </row>
    <row r="957" spans="3:8" ht="15.75">
      <c r="C957" s="110"/>
      <c r="D957" s="110"/>
      <c r="E957" s="110"/>
      <c r="F957" s="111"/>
      <c r="G957" s="110"/>
      <c r="H957" s="112"/>
    </row>
    <row r="958" spans="3:8">
      <c r="C958" s="22" t="s">
        <v>23</v>
      </c>
      <c r="D958" s="23" t="s">
        <v>214</v>
      </c>
      <c r="E958" s="23"/>
      <c r="F958" s="24"/>
      <c r="G958" s="25"/>
      <c r="H958" s="26"/>
    </row>
    <row r="959" spans="3:8">
      <c r="C959" s="27" t="s">
        <v>25</v>
      </c>
      <c r="D959" s="28" t="s">
        <v>215</v>
      </c>
      <c r="E959" s="29"/>
      <c r="F959" s="30" t="s">
        <v>27</v>
      </c>
      <c r="G959" s="31" t="s">
        <v>199</v>
      </c>
      <c r="H959" s="32">
        <v>720.1</v>
      </c>
    </row>
    <row r="960" spans="3:8">
      <c r="C960" s="33" t="s">
        <v>29</v>
      </c>
      <c r="D960" s="33" t="s">
        <v>30</v>
      </c>
      <c r="E960" s="33" t="s">
        <v>31</v>
      </c>
      <c r="F960" s="34" t="s">
        <v>32</v>
      </c>
      <c r="G960" s="35" t="s">
        <v>33</v>
      </c>
      <c r="H960" s="35" t="s">
        <v>34</v>
      </c>
    </row>
    <row r="961" spans="3:8">
      <c r="C961" s="33"/>
      <c r="D961" s="33"/>
      <c r="E961" s="33"/>
      <c r="F961" s="34"/>
      <c r="G961" s="36"/>
      <c r="H961" s="36"/>
    </row>
    <row r="962" spans="3:8">
      <c r="C962" s="37" t="s">
        <v>35</v>
      </c>
      <c r="D962" s="38" t="s">
        <v>36</v>
      </c>
      <c r="E962" s="39"/>
      <c r="F962" s="40"/>
      <c r="G962" s="41"/>
      <c r="H962" s="42"/>
    </row>
    <row r="963" spans="3:8">
      <c r="C963" s="39" t="s">
        <v>129</v>
      </c>
      <c r="D963" s="71" t="s">
        <v>200</v>
      </c>
      <c r="E963" s="39" t="s">
        <v>51</v>
      </c>
      <c r="F963" s="60">
        <v>1.69360548561387</v>
      </c>
      <c r="G963" s="46">
        <v>78.795486071171297</v>
      </c>
      <c r="H963" s="47">
        <v>133.44846745174701</v>
      </c>
    </row>
    <row r="964" spans="3:8">
      <c r="C964" s="39" t="s">
        <v>49</v>
      </c>
      <c r="D964" s="65" t="s">
        <v>201</v>
      </c>
      <c r="E964" s="39" t="s">
        <v>51</v>
      </c>
      <c r="F964" s="60">
        <v>1.03787970134041</v>
      </c>
      <c r="G964" s="46">
        <v>45.411750977784699</v>
      </c>
      <c r="H964" s="47">
        <v>47.131934542168203</v>
      </c>
    </row>
    <row r="965" spans="3:8">
      <c r="C965" s="39" t="s">
        <v>129</v>
      </c>
      <c r="D965" s="65" t="s">
        <v>202</v>
      </c>
      <c r="E965" s="108" t="s">
        <v>51</v>
      </c>
      <c r="F965" s="60">
        <v>1.1412103534170399</v>
      </c>
      <c r="G965" s="46">
        <v>72.4420787409273</v>
      </c>
      <c r="H965" s="47">
        <v>82.671650282198598</v>
      </c>
    </row>
    <row r="966" spans="3:8">
      <c r="C966" s="39" t="s">
        <v>49</v>
      </c>
      <c r="D966" s="65" t="s">
        <v>160</v>
      </c>
      <c r="E966" s="39" t="s">
        <v>51</v>
      </c>
      <c r="F966" s="60">
        <v>0.89158926007806405</v>
      </c>
      <c r="G966" s="46">
        <v>74.717676591289106</v>
      </c>
      <c r="H966" s="47">
        <v>66.617477986779505</v>
      </c>
    </row>
    <row r="967" spans="3:8">
      <c r="C967" s="39" t="s">
        <v>129</v>
      </c>
      <c r="D967" s="65" t="s">
        <v>203</v>
      </c>
      <c r="E967" s="39" t="s">
        <v>51</v>
      </c>
      <c r="F967" s="60">
        <v>0.88814918544868005</v>
      </c>
      <c r="G967" s="46">
        <v>106.731710416406</v>
      </c>
      <c r="H967" s="47">
        <v>94.793681667875106</v>
      </c>
    </row>
    <row r="968" spans="3:8">
      <c r="C968" s="43"/>
      <c r="D968" s="65"/>
      <c r="E968" s="39"/>
      <c r="F968" s="60"/>
      <c r="G968" s="46">
        <v>0</v>
      </c>
      <c r="H968" s="47">
        <v>0</v>
      </c>
    </row>
    <row r="969" spans="3:8">
      <c r="C969" s="43"/>
      <c r="D969" s="65"/>
      <c r="E969" s="39"/>
      <c r="F969" s="75"/>
      <c r="G969" s="46">
        <v>0</v>
      </c>
      <c r="H969" s="47">
        <v>0</v>
      </c>
    </row>
    <row r="970" spans="3:8">
      <c r="C970" s="51" t="s">
        <v>37</v>
      </c>
      <c r="D970" s="51"/>
      <c r="E970" s="51"/>
      <c r="F970" s="52"/>
      <c r="G970" s="51"/>
      <c r="H970" s="53">
        <v>424.66321193076902</v>
      </c>
    </row>
    <row r="971" spans="3:8">
      <c r="C971" s="54" t="s">
        <v>38</v>
      </c>
      <c r="D971" s="55" t="s">
        <v>39</v>
      </c>
      <c r="E971" s="56"/>
      <c r="F971" s="57"/>
      <c r="G971" s="58"/>
      <c r="H971" s="58"/>
    </row>
    <row r="972" spans="3:8">
      <c r="C972" s="39" t="s">
        <v>53</v>
      </c>
      <c r="D972" s="76" t="s">
        <v>136</v>
      </c>
      <c r="E972" s="39" t="s">
        <v>28</v>
      </c>
      <c r="F972" s="105">
        <v>0.48749999999999999</v>
      </c>
      <c r="G972" s="62">
        <v>29.7264248351538</v>
      </c>
      <c r="H972" s="61">
        <v>14.4916321071375</v>
      </c>
    </row>
    <row r="973" spans="3:8">
      <c r="C973" s="39"/>
      <c r="D973" s="76"/>
      <c r="E973" s="39"/>
      <c r="F973" s="115"/>
      <c r="G973" s="47">
        <v>0</v>
      </c>
      <c r="H973" s="61">
        <v>0</v>
      </c>
    </row>
    <row r="974" spans="3:8">
      <c r="C974" s="39"/>
      <c r="D974" s="76"/>
      <c r="E974" s="39"/>
      <c r="F974" s="116"/>
      <c r="G974" s="47">
        <v>0</v>
      </c>
      <c r="H974" s="61">
        <v>0</v>
      </c>
    </row>
    <row r="975" spans="3:8">
      <c r="C975" s="39"/>
      <c r="D975" s="76"/>
      <c r="E975" s="39"/>
      <c r="F975" s="40"/>
      <c r="G975" s="47">
        <v>0</v>
      </c>
      <c r="H975" s="61">
        <v>0</v>
      </c>
    </row>
    <row r="976" spans="3:8">
      <c r="C976" s="39"/>
      <c r="D976" s="76"/>
      <c r="E976" s="39"/>
      <c r="F976" s="40"/>
      <c r="G976" s="47">
        <v>0</v>
      </c>
      <c r="H976" s="61">
        <v>0</v>
      </c>
    </row>
    <row r="977" spans="3:8">
      <c r="C977" s="39"/>
      <c r="D977" s="76"/>
      <c r="E977" s="39"/>
      <c r="F977" s="40"/>
      <c r="G977" s="47">
        <v>0</v>
      </c>
      <c r="H977" s="61">
        <v>0</v>
      </c>
    </row>
    <row r="978" spans="3:8">
      <c r="C978" s="39"/>
      <c r="D978" s="76"/>
      <c r="E978" s="39"/>
      <c r="F978" s="40"/>
      <c r="G978" s="62">
        <v>0</v>
      </c>
      <c r="H978" s="61">
        <v>0</v>
      </c>
    </row>
    <row r="979" spans="3:8">
      <c r="C979" s="39"/>
      <c r="D979" s="44"/>
      <c r="E979" s="39"/>
      <c r="F979" s="49"/>
      <c r="G979" s="47">
        <v>0</v>
      </c>
      <c r="H979" s="61">
        <v>0</v>
      </c>
    </row>
    <row r="980" spans="3:8">
      <c r="C980" s="51" t="s">
        <v>40</v>
      </c>
      <c r="D980" s="51"/>
      <c r="E980" s="51"/>
      <c r="F980" s="52"/>
      <c r="G980" s="51"/>
      <c r="H980" s="53">
        <v>14.4916321071375</v>
      </c>
    </row>
    <row r="981" spans="3:8">
      <c r="C981" s="54" t="s">
        <v>41</v>
      </c>
      <c r="D981" s="55" t="s">
        <v>42</v>
      </c>
      <c r="E981" s="56"/>
      <c r="F981" s="63"/>
      <c r="G981" s="64"/>
      <c r="H981" s="64">
        <v>0</v>
      </c>
    </row>
    <row r="982" spans="3:8">
      <c r="C982" s="45" t="s">
        <v>77</v>
      </c>
      <c r="D982" s="65" t="s">
        <v>204</v>
      </c>
      <c r="E982" s="45" t="s">
        <v>28</v>
      </c>
      <c r="F982" s="40">
        <v>1</v>
      </c>
      <c r="G982" s="50">
        <v>74.382045711606693</v>
      </c>
      <c r="H982" s="50">
        <v>74.382045711606693</v>
      </c>
    </row>
    <row r="983" spans="3:8">
      <c r="C983" s="45" t="s">
        <v>77</v>
      </c>
      <c r="D983" s="65" t="s">
        <v>205</v>
      </c>
      <c r="E983" s="45" t="s">
        <v>55</v>
      </c>
      <c r="F983" s="40">
        <v>1</v>
      </c>
      <c r="G983" s="50">
        <v>64.228437968658596</v>
      </c>
      <c r="H983" s="50">
        <v>64.228437968658596</v>
      </c>
    </row>
    <row r="984" spans="3:8">
      <c r="C984" s="45"/>
      <c r="D984" s="65"/>
      <c r="E984" s="45"/>
      <c r="F984" s="40"/>
      <c r="G984" s="50">
        <v>0</v>
      </c>
      <c r="H984" s="61">
        <v>0</v>
      </c>
    </row>
    <row r="985" spans="3:8">
      <c r="C985" s="45"/>
      <c r="D985" s="65"/>
      <c r="E985" s="45"/>
      <c r="F985" s="40"/>
      <c r="G985" s="50">
        <v>0</v>
      </c>
      <c r="H985" s="61">
        <v>0</v>
      </c>
    </row>
    <row r="986" spans="3:8">
      <c r="C986" s="45"/>
      <c r="D986" s="65"/>
      <c r="E986" s="45"/>
      <c r="F986" s="40"/>
      <c r="G986" s="50">
        <v>0</v>
      </c>
      <c r="H986" s="61">
        <v>0</v>
      </c>
    </row>
    <row r="987" spans="3:8">
      <c r="C987" s="45"/>
      <c r="D987" s="65"/>
      <c r="E987" s="45"/>
      <c r="F987" s="40"/>
      <c r="G987" s="50">
        <v>0</v>
      </c>
      <c r="H987" s="61">
        <v>0</v>
      </c>
    </row>
    <row r="988" spans="3:8">
      <c r="C988" s="45"/>
      <c r="D988" s="65"/>
      <c r="E988" s="45"/>
      <c r="F988" s="40"/>
      <c r="G988" s="50">
        <v>0</v>
      </c>
      <c r="H988" s="61">
        <v>0</v>
      </c>
    </row>
    <row r="989" spans="3:8">
      <c r="C989" s="45"/>
      <c r="D989" s="65"/>
      <c r="E989" s="45"/>
      <c r="F989" s="40"/>
      <c r="G989" s="50">
        <v>0</v>
      </c>
      <c r="H989" s="61">
        <v>0</v>
      </c>
    </row>
    <row r="990" spans="3:8">
      <c r="C990" s="51" t="s">
        <v>43</v>
      </c>
      <c r="D990" s="51"/>
      <c r="E990" s="51"/>
      <c r="F990" s="52"/>
      <c r="G990" s="51"/>
      <c r="H990" s="53">
        <v>138.61048368026499</v>
      </c>
    </row>
    <row r="991" spans="3:8" ht="15.75">
      <c r="C991" s="66" t="s">
        <v>44</v>
      </c>
      <c r="D991" s="67"/>
      <c r="E991" s="67"/>
      <c r="F991" s="68"/>
      <c r="G991" s="69"/>
      <c r="H991" s="53">
        <v>577.76532771817097</v>
      </c>
    </row>
    <row r="992" spans="3:8" ht="15.75">
      <c r="C992" s="66" t="s">
        <v>45</v>
      </c>
      <c r="D992" s="67"/>
      <c r="E992" s="67"/>
      <c r="F992" s="68"/>
      <c r="G992" s="69"/>
      <c r="H992" s="70">
        <v>142.33331482607599</v>
      </c>
    </row>
    <row r="993" spans="3:8" ht="15.75">
      <c r="C993" s="66" t="s">
        <v>46</v>
      </c>
      <c r="D993" s="67"/>
      <c r="E993" s="67"/>
      <c r="F993" s="68"/>
      <c r="G993" s="69"/>
      <c r="H993" s="53">
        <v>720.1</v>
      </c>
    </row>
    <row r="994" spans="3:8" ht="15.75">
      <c r="C994" s="110"/>
      <c r="D994" s="110"/>
      <c r="E994" s="110"/>
      <c r="F994" s="111"/>
      <c r="G994" s="110"/>
      <c r="H994" s="112"/>
    </row>
    <row r="995" spans="3:8">
      <c r="C995" s="22" t="s">
        <v>23</v>
      </c>
      <c r="D995" s="23" t="s">
        <v>216</v>
      </c>
      <c r="E995" s="23"/>
      <c r="F995" s="24"/>
      <c r="G995" s="25"/>
      <c r="H995" s="26"/>
    </row>
    <row r="996" spans="3:8">
      <c r="C996" s="27" t="s">
        <v>25</v>
      </c>
      <c r="D996" s="28" t="s">
        <v>217</v>
      </c>
      <c r="E996" s="29"/>
      <c r="F996" s="30" t="s">
        <v>27</v>
      </c>
      <c r="G996" s="31" t="s">
        <v>199</v>
      </c>
      <c r="H996" s="32">
        <v>169.67</v>
      </c>
    </row>
    <row r="997" spans="3:8">
      <c r="C997" s="33" t="s">
        <v>29</v>
      </c>
      <c r="D997" s="33" t="s">
        <v>30</v>
      </c>
      <c r="E997" s="33" t="s">
        <v>31</v>
      </c>
      <c r="F997" s="34" t="s">
        <v>32</v>
      </c>
      <c r="G997" s="35" t="s">
        <v>33</v>
      </c>
      <c r="H997" s="35" t="s">
        <v>34</v>
      </c>
    </row>
    <row r="998" spans="3:8">
      <c r="C998" s="33"/>
      <c r="D998" s="33"/>
      <c r="E998" s="33"/>
      <c r="F998" s="34"/>
      <c r="G998" s="36"/>
      <c r="H998" s="36"/>
    </row>
    <row r="999" spans="3:8">
      <c r="C999" s="37" t="s">
        <v>35</v>
      </c>
      <c r="D999" s="38" t="s">
        <v>36</v>
      </c>
      <c r="E999" s="39"/>
      <c r="F999" s="40"/>
      <c r="G999" s="41"/>
      <c r="H999" s="42"/>
    </row>
    <row r="1000" spans="3:8">
      <c r="C1000" s="39" t="s">
        <v>49</v>
      </c>
      <c r="D1000" s="65" t="s">
        <v>218</v>
      </c>
      <c r="E1000" s="39" t="s">
        <v>51</v>
      </c>
      <c r="F1000" s="60">
        <v>0.15</v>
      </c>
      <c r="G1000" s="46">
        <v>115.628519264609</v>
      </c>
      <c r="H1000" s="47">
        <v>17.344277889691298</v>
      </c>
    </row>
    <row r="1001" spans="3:8">
      <c r="C1001" s="39" t="s">
        <v>49</v>
      </c>
      <c r="D1001" s="65" t="s">
        <v>192</v>
      </c>
      <c r="E1001" s="39" t="s">
        <v>51</v>
      </c>
      <c r="F1001" s="60">
        <v>0.15</v>
      </c>
      <c r="G1001" s="46">
        <v>57.709977237362303</v>
      </c>
      <c r="H1001" s="47">
        <v>8.6564965856043408</v>
      </c>
    </row>
    <row r="1002" spans="3:8">
      <c r="C1002" s="39"/>
      <c r="D1002" s="65"/>
      <c r="E1002" s="39"/>
      <c r="F1002" s="60"/>
      <c r="G1002" s="46"/>
      <c r="H1002" s="47"/>
    </row>
    <row r="1003" spans="3:8">
      <c r="C1003" s="39"/>
      <c r="D1003" s="44"/>
      <c r="E1003" s="39"/>
      <c r="F1003" s="117"/>
      <c r="G1003" s="46">
        <v>0</v>
      </c>
      <c r="H1003" s="47">
        <v>0</v>
      </c>
    </row>
    <row r="1004" spans="3:8">
      <c r="C1004" s="39"/>
      <c r="D1004" s="65"/>
      <c r="E1004" s="39"/>
      <c r="F1004" s="60"/>
      <c r="G1004" s="46">
        <v>0</v>
      </c>
      <c r="H1004" s="47">
        <v>0</v>
      </c>
    </row>
    <row r="1005" spans="3:8">
      <c r="C1005" s="43"/>
      <c r="D1005" s="65"/>
      <c r="E1005" s="39"/>
      <c r="F1005" s="60"/>
      <c r="G1005" s="46">
        <v>0</v>
      </c>
      <c r="H1005" s="47">
        <v>0</v>
      </c>
    </row>
    <row r="1006" spans="3:8">
      <c r="C1006" s="43"/>
      <c r="D1006" s="65"/>
      <c r="E1006" s="39"/>
      <c r="F1006" s="75"/>
      <c r="G1006" s="46">
        <v>0</v>
      </c>
      <c r="H1006" s="47">
        <v>0</v>
      </c>
    </row>
    <row r="1007" spans="3:8">
      <c r="C1007" s="51" t="s">
        <v>37</v>
      </c>
      <c r="D1007" s="51"/>
      <c r="E1007" s="51"/>
      <c r="F1007" s="52"/>
      <c r="G1007" s="51"/>
      <c r="H1007" s="53">
        <v>26.0007744752956</v>
      </c>
    </row>
    <row r="1008" spans="3:8">
      <c r="C1008" s="54" t="s">
        <v>38</v>
      </c>
      <c r="D1008" s="55" t="s">
        <v>39</v>
      </c>
      <c r="E1008" s="56"/>
      <c r="F1008" s="57"/>
      <c r="G1008" s="58"/>
      <c r="H1008" s="58"/>
    </row>
    <row r="1009" spans="3:8">
      <c r="C1009" s="39" t="s">
        <v>53</v>
      </c>
      <c r="D1009" s="76" t="s">
        <v>136</v>
      </c>
      <c r="E1009" s="39" t="s">
        <v>28</v>
      </c>
      <c r="F1009" s="105">
        <v>0.48749999999999999</v>
      </c>
      <c r="G1009" s="62">
        <v>2.6000774475295598</v>
      </c>
      <c r="H1009" s="61">
        <v>1.26753775567066</v>
      </c>
    </row>
    <row r="1010" spans="3:8">
      <c r="C1010" s="39"/>
      <c r="D1010" s="76"/>
      <c r="E1010" s="39"/>
      <c r="F1010" s="115"/>
      <c r="G1010" s="47">
        <v>0</v>
      </c>
      <c r="H1010" s="61">
        <v>0</v>
      </c>
    </row>
    <row r="1011" spans="3:8">
      <c r="C1011" s="39"/>
      <c r="D1011" s="76"/>
      <c r="E1011" s="39"/>
      <c r="F1011" s="116"/>
      <c r="G1011" s="47">
        <v>0</v>
      </c>
      <c r="H1011" s="61">
        <v>0</v>
      </c>
    </row>
    <row r="1012" spans="3:8">
      <c r="C1012" s="39"/>
      <c r="D1012" s="76"/>
      <c r="E1012" s="39"/>
      <c r="F1012" s="40"/>
      <c r="G1012" s="47">
        <v>0</v>
      </c>
      <c r="H1012" s="61">
        <v>0</v>
      </c>
    </row>
    <row r="1013" spans="3:8">
      <c r="C1013" s="39"/>
      <c r="D1013" s="76"/>
      <c r="E1013" s="39"/>
      <c r="F1013" s="40"/>
      <c r="G1013" s="47">
        <v>0</v>
      </c>
      <c r="H1013" s="61">
        <v>0</v>
      </c>
    </row>
    <row r="1014" spans="3:8">
      <c r="C1014" s="39"/>
      <c r="D1014" s="76"/>
      <c r="E1014" s="39"/>
      <c r="F1014" s="40"/>
      <c r="G1014" s="47">
        <v>0</v>
      </c>
      <c r="H1014" s="61">
        <v>0</v>
      </c>
    </row>
    <row r="1015" spans="3:8">
      <c r="C1015" s="39"/>
      <c r="D1015" s="76"/>
      <c r="E1015" s="39"/>
      <c r="F1015" s="40"/>
      <c r="G1015" s="62">
        <v>0</v>
      </c>
      <c r="H1015" s="61">
        <v>0</v>
      </c>
    </row>
    <row r="1016" spans="3:8">
      <c r="C1016" s="39"/>
      <c r="D1016" s="44"/>
      <c r="E1016" s="39"/>
      <c r="F1016" s="49"/>
      <c r="G1016" s="47">
        <v>0</v>
      </c>
      <c r="H1016" s="61">
        <v>0</v>
      </c>
    </row>
    <row r="1017" spans="3:8">
      <c r="C1017" s="51" t="s">
        <v>40</v>
      </c>
      <c r="D1017" s="51"/>
      <c r="E1017" s="51"/>
      <c r="F1017" s="52"/>
      <c r="G1017" s="51"/>
      <c r="H1017" s="53">
        <v>1.26753775567066</v>
      </c>
    </row>
    <row r="1018" spans="3:8">
      <c r="C1018" s="54" t="s">
        <v>41</v>
      </c>
      <c r="D1018" s="55" t="s">
        <v>42</v>
      </c>
      <c r="E1018" s="56"/>
      <c r="F1018" s="63"/>
      <c r="G1018" s="64"/>
      <c r="H1018" s="64">
        <v>0</v>
      </c>
    </row>
    <row r="1019" spans="3:8">
      <c r="C1019" s="45" t="s">
        <v>77</v>
      </c>
      <c r="D1019" s="99" t="s">
        <v>219</v>
      </c>
      <c r="E1019" s="45" t="s">
        <v>220</v>
      </c>
      <c r="F1019" s="40">
        <v>1</v>
      </c>
      <c r="G1019" s="50">
        <v>108.861166666667</v>
      </c>
      <c r="H1019" s="50">
        <v>108.861166666667</v>
      </c>
    </row>
    <row r="1020" spans="3:8">
      <c r="C1020" s="45"/>
      <c r="D1020" s="65"/>
      <c r="E1020" s="45"/>
      <c r="F1020" s="40"/>
      <c r="G1020" s="50">
        <v>0</v>
      </c>
      <c r="H1020" s="50">
        <v>0</v>
      </c>
    </row>
    <row r="1021" spans="3:8">
      <c r="C1021" s="45"/>
      <c r="D1021" s="65"/>
      <c r="E1021" s="45"/>
      <c r="F1021" s="40"/>
      <c r="G1021" s="50">
        <v>0</v>
      </c>
      <c r="H1021" s="61">
        <v>0</v>
      </c>
    </row>
    <row r="1022" spans="3:8">
      <c r="C1022" s="45"/>
      <c r="D1022" s="65"/>
      <c r="E1022" s="45"/>
      <c r="F1022" s="40"/>
      <c r="G1022" s="50">
        <v>0</v>
      </c>
      <c r="H1022" s="61">
        <v>0</v>
      </c>
    </row>
    <row r="1023" spans="3:8">
      <c r="C1023" s="45"/>
      <c r="D1023" s="65"/>
      <c r="E1023" s="45"/>
      <c r="F1023" s="40"/>
      <c r="G1023" s="50">
        <v>0</v>
      </c>
      <c r="H1023" s="61">
        <v>0</v>
      </c>
    </row>
    <row r="1024" spans="3:8">
      <c r="C1024" s="45"/>
      <c r="D1024" s="65"/>
      <c r="E1024" s="45"/>
      <c r="F1024" s="40"/>
      <c r="G1024" s="50">
        <v>0</v>
      </c>
      <c r="H1024" s="61">
        <v>0</v>
      </c>
    </row>
    <row r="1025" spans="3:8">
      <c r="C1025" s="45"/>
      <c r="D1025" s="65"/>
      <c r="E1025" s="45"/>
      <c r="F1025" s="40"/>
      <c r="G1025" s="50">
        <v>0</v>
      </c>
      <c r="H1025" s="61">
        <v>0</v>
      </c>
    </row>
    <row r="1026" spans="3:8">
      <c r="C1026" s="45"/>
      <c r="D1026" s="65"/>
      <c r="E1026" s="45"/>
      <c r="F1026" s="40"/>
      <c r="G1026" s="50">
        <v>0</v>
      </c>
      <c r="H1026" s="61">
        <v>0</v>
      </c>
    </row>
    <row r="1027" spans="3:8">
      <c r="C1027" s="51" t="s">
        <v>43</v>
      </c>
      <c r="D1027" s="51"/>
      <c r="E1027" s="51"/>
      <c r="F1027" s="52"/>
      <c r="G1027" s="51"/>
      <c r="H1027" s="53">
        <v>108.861166666667</v>
      </c>
    </row>
    <row r="1028" spans="3:8" ht="15.75">
      <c r="C1028" s="66" t="s">
        <v>44</v>
      </c>
      <c r="D1028" s="67"/>
      <c r="E1028" s="67"/>
      <c r="F1028" s="68"/>
      <c r="G1028" s="69"/>
      <c r="H1028" s="53">
        <v>136.12947889763299</v>
      </c>
    </row>
    <row r="1029" spans="3:8" ht="15.75">
      <c r="C1029" s="66" t="s">
        <v>45</v>
      </c>
      <c r="D1029" s="67"/>
      <c r="E1029" s="67"/>
      <c r="F1029" s="68"/>
      <c r="G1029" s="69"/>
      <c r="H1029" s="70">
        <v>33.535691824168701</v>
      </c>
    </row>
    <row r="1030" spans="3:8" ht="15.75">
      <c r="C1030" s="66" t="s">
        <v>46</v>
      </c>
      <c r="D1030" s="67"/>
      <c r="E1030" s="67"/>
      <c r="F1030" s="68"/>
      <c r="G1030" s="69"/>
      <c r="H1030" s="53">
        <v>169.67</v>
      </c>
    </row>
    <row r="1031" spans="3:8" ht="15.75">
      <c r="C1031" s="110"/>
      <c r="D1031" s="110"/>
      <c r="E1031" s="110"/>
      <c r="F1031" s="111"/>
      <c r="G1031" s="110"/>
      <c r="H1031" s="112"/>
    </row>
    <row r="1032" spans="3:8">
      <c r="C1032" s="22" t="s">
        <v>23</v>
      </c>
      <c r="D1032" s="23" t="s">
        <v>221</v>
      </c>
      <c r="E1032" s="23"/>
      <c r="F1032" s="24"/>
      <c r="G1032" s="25"/>
      <c r="H1032" s="26"/>
    </row>
    <row r="1033" spans="3:8">
      <c r="C1033" s="27" t="s">
        <v>25</v>
      </c>
      <c r="D1033" s="28" t="s">
        <v>222</v>
      </c>
      <c r="E1033" s="29"/>
      <c r="F1033" s="30" t="s">
        <v>27</v>
      </c>
      <c r="G1033" s="31" t="s">
        <v>199</v>
      </c>
      <c r="H1033" s="32">
        <v>158.77000000000001</v>
      </c>
    </row>
    <row r="1034" spans="3:8">
      <c r="C1034" s="33" t="s">
        <v>29</v>
      </c>
      <c r="D1034" s="33" t="s">
        <v>30</v>
      </c>
      <c r="E1034" s="33" t="s">
        <v>31</v>
      </c>
      <c r="F1034" s="34" t="s">
        <v>32</v>
      </c>
      <c r="G1034" s="35" t="s">
        <v>33</v>
      </c>
      <c r="H1034" s="35" t="s">
        <v>34</v>
      </c>
    </row>
    <row r="1035" spans="3:8">
      <c r="C1035" s="33"/>
      <c r="D1035" s="33"/>
      <c r="E1035" s="33"/>
      <c r="F1035" s="34"/>
      <c r="G1035" s="36"/>
      <c r="H1035" s="36"/>
    </row>
    <row r="1036" spans="3:8">
      <c r="C1036" s="37" t="s">
        <v>35</v>
      </c>
      <c r="D1036" s="38" t="s">
        <v>36</v>
      </c>
      <c r="E1036" s="39"/>
      <c r="F1036" s="40"/>
      <c r="G1036" s="41"/>
      <c r="H1036" s="42"/>
    </row>
    <row r="1037" spans="3:8">
      <c r="C1037" s="39" t="s">
        <v>49</v>
      </c>
      <c r="D1037" s="65" t="s">
        <v>218</v>
      </c>
      <c r="E1037" s="39" t="s">
        <v>51</v>
      </c>
      <c r="F1037" s="60">
        <v>0.15</v>
      </c>
      <c r="G1037" s="46">
        <v>115.628519264609</v>
      </c>
      <c r="H1037" s="47">
        <v>17.344277889691298</v>
      </c>
    </row>
    <row r="1038" spans="3:8">
      <c r="C1038" s="39" t="s">
        <v>49</v>
      </c>
      <c r="D1038" s="65" t="s">
        <v>192</v>
      </c>
      <c r="E1038" s="39" t="s">
        <v>51</v>
      </c>
      <c r="F1038" s="60">
        <v>0.15</v>
      </c>
      <c r="G1038" s="46">
        <v>57.709977237362303</v>
      </c>
      <c r="H1038" s="47">
        <v>8.6564965856043408</v>
      </c>
    </row>
    <row r="1039" spans="3:8">
      <c r="C1039" s="39"/>
      <c r="D1039" s="44"/>
      <c r="E1039" s="39"/>
      <c r="F1039" s="82"/>
      <c r="G1039" s="46"/>
      <c r="H1039" s="47"/>
    </row>
    <row r="1040" spans="3:8">
      <c r="C1040" s="39"/>
      <c r="D1040" s="44"/>
      <c r="E1040" s="39"/>
      <c r="F1040" s="117"/>
      <c r="G1040" s="46">
        <v>0</v>
      </c>
      <c r="H1040" s="47">
        <v>0</v>
      </c>
    </row>
    <row r="1041" spans="3:8">
      <c r="C1041" s="39"/>
      <c r="D1041" s="65"/>
      <c r="E1041" s="39"/>
      <c r="F1041" s="60"/>
      <c r="G1041" s="46">
        <v>0</v>
      </c>
      <c r="H1041" s="47">
        <v>0</v>
      </c>
    </row>
    <row r="1042" spans="3:8">
      <c r="C1042" s="43"/>
      <c r="D1042" s="65"/>
      <c r="E1042" s="39"/>
      <c r="F1042" s="60"/>
      <c r="G1042" s="46">
        <v>0</v>
      </c>
      <c r="H1042" s="47">
        <v>0</v>
      </c>
    </row>
    <row r="1043" spans="3:8">
      <c r="C1043" s="43"/>
      <c r="D1043" s="65"/>
      <c r="E1043" s="39"/>
      <c r="F1043" s="75"/>
      <c r="G1043" s="46">
        <v>0</v>
      </c>
      <c r="H1043" s="47">
        <v>0</v>
      </c>
    </row>
    <row r="1044" spans="3:8">
      <c r="C1044" s="51" t="s">
        <v>37</v>
      </c>
      <c r="D1044" s="51"/>
      <c r="E1044" s="51"/>
      <c r="F1044" s="52"/>
      <c r="G1044" s="51"/>
      <c r="H1044" s="53">
        <v>26.0007744752956</v>
      </c>
    </row>
    <row r="1045" spans="3:8">
      <c r="C1045" s="54" t="s">
        <v>38</v>
      </c>
      <c r="D1045" s="55" t="s">
        <v>39</v>
      </c>
      <c r="E1045" s="56"/>
      <c r="F1045" s="57"/>
      <c r="G1045" s="58"/>
      <c r="H1045" s="58"/>
    </row>
    <row r="1046" spans="3:8">
      <c r="C1046" s="39" t="s">
        <v>53</v>
      </c>
      <c r="D1046" s="76" t="s">
        <v>136</v>
      </c>
      <c r="E1046" s="39" t="s">
        <v>28</v>
      </c>
      <c r="F1046" s="105">
        <v>0.48749999999999999</v>
      </c>
      <c r="G1046" s="62">
        <v>2.6000774475295598</v>
      </c>
      <c r="H1046" s="61">
        <v>1.26753775567066</v>
      </c>
    </row>
    <row r="1047" spans="3:8">
      <c r="C1047" s="39"/>
      <c r="D1047" s="76"/>
      <c r="E1047" s="39"/>
      <c r="F1047" s="115"/>
      <c r="G1047" s="47">
        <v>0</v>
      </c>
      <c r="H1047" s="61">
        <v>0</v>
      </c>
    </row>
    <row r="1048" spans="3:8">
      <c r="C1048" s="39"/>
      <c r="D1048" s="76"/>
      <c r="E1048" s="39"/>
      <c r="F1048" s="116"/>
      <c r="G1048" s="47">
        <v>0</v>
      </c>
      <c r="H1048" s="61">
        <v>0</v>
      </c>
    </row>
    <row r="1049" spans="3:8">
      <c r="C1049" s="39"/>
      <c r="D1049" s="76"/>
      <c r="E1049" s="39"/>
      <c r="F1049" s="40"/>
      <c r="G1049" s="47">
        <v>0</v>
      </c>
      <c r="H1049" s="61">
        <v>0</v>
      </c>
    </row>
    <row r="1050" spans="3:8">
      <c r="C1050" s="39"/>
      <c r="D1050" s="76"/>
      <c r="E1050" s="39"/>
      <c r="F1050" s="40"/>
      <c r="G1050" s="47">
        <v>0</v>
      </c>
      <c r="H1050" s="61">
        <v>0</v>
      </c>
    </row>
    <row r="1051" spans="3:8">
      <c r="C1051" s="39"/>
      <c r="D1051" s="76"/>
      <c r="E1051" s="39"/>
      <c r="F1051" s="40"/>
      <c r="G1051" s="47">
        <v>0</v>
      </c>
      <c r="H1051" s="61">
        <v>0</v>
      </c>
    </row>
    <row r="1052" spans="3:8">
      <c r="C1052" s="39"/>
      <c r="D1052" s="76"/>
      <c r="E1052" s="39"/>
      <c r="F1052" s="40"/>
      <c r="G1052" s="62">
        <v>0</v>
      </c>
      <c r="H1052" s="61">
        <v>0</v>
      </c>
    </row>
    <row r="1053" spans="3:8">
      <c r="C1053" s="39"/>
      <c r="D1053" s="44"/>
      <c r="E1053" s="39"/>
      <c r="F1053" s="49"/>
      <c r="G1053" s="47">
        <v>0</v>
      </c>
      <c r="H1053" s="61">
        <v>0</v>
      </c>
    </row>
    <row r="1054" spans="3:8">
      <c r="C1054" s="51" t="s">
        <v>40</v>
      </c>
      <c r="D1054" s="51"/>
      <c r="E1054" s="51"/>
      <c r="F1054" s="52"/>
      <c r="G1054" s="51"/>
      <c r="H1054" s="53">
        <v>1.26753775567066</v>
      </c>
    </row>
    <row r="1055" spans="3:8">
      <c r="C1055" s="54" t="s">
        <v>41</v>
      </c>
      <c r="D1055" s="55" t="s">
        <v>42</v>
      </c>
      <c r="E1055" s="56"/>
      <c r="F1055" s="63"/>
      <c r="G1055" s="64"/>
      <c r="H1055" s="64">
        <v>0</v>
      </c>
    </row>
    <row r="1056" spans="3:8">
      <c r="C1056" s="45" t="s">
        <v>77</v>
      </c>
      <c r="D1056" s="99" t="s">
        <v>219</v>
      </c>
      <c r="E1056" s="45" t="s">
        <v>220</v>
      </c>
      <c r="F1056" s="40">
        <v>1</v>
      </c>
      <c r="G1056" s="50">
        <v>100.116666666667</v>
      </c>
      <c r="H1056" s="50">
        <v>100.116666666667</v>
      </c>
    </row>
    <row r="1057" spans="3:8">
      <c r="C1057" s="45"/>
      <c r="D1057" s="65"/>
      <c r="E1057" s="45"/>
      <c r="F1057" s="40"/>
      <c r="G1057" s="50">
        <v>0</v>
      </c>
      <c r="H1057" s="61">
        <v>0</v>
      </c>
    </row>
    <row r="1058" spans="3:8">
      <c r="C1058" s="45"/>
      <c r="D1058" s="65"/>
      <c r="E1058" s="45"/>
      <c r="F1058" s="40"/>
      <c r="G1058" s="50">
        <v>0</v>
      </c>
      <c r="H1058" s="61">
        <v>0</v>
      </c>
    </row>
    <row r="1059" spans="3:8">
      <c r="C1059" s="45"/>
      <c r="D1059" s="65"/>
      <c r="E1059" s="45"/>
      <c r="F1059" s="40"/>
      <c r="G1059" s="50">
        <v>0</v>
      </c>
      <c r="H1059" s="61">
        <v>0</v>
      </c>
    </row>
    <row r="1060" spans="3:8">
      <c r="C1060" s="45"/>
      <c r="D1060" s="65"/>
      <c r="E1060" s="45"/>
      <c r="F1060" s="40"/>
      <c r="G1060" s="50">
        <v>0</v>
      </c>
      <c r="H1060" s="61">
        <v>0</v>
      </c>
    </row>
    <row r="1061" spans="3:8">
      <c r="C1061" s="45"/>
      <c r="D1061" s="65"/>
      <c r="E1061" s="45"/>
      <c r="F1061" s="40"/>
      <c r="G1061" s="50">
        <v>0</v>
      </c>
      <c r="H1061" s="61">
        <v>0</v>
      </c>
    </row>
    <row r="1062" spans="3:8">
      <c r="C1062" s="45"/>
      <c r="D1062" s="65"/>
      <c r="E1062" s="45"/>
      <c r="F1062" s="40"/>
      <c r="G1062" s="50">
        <v>0</v>
      </c>
      <c r="H1062" s="61">
        <v>0</v>
      </c>
    </row>
    <row r="1063" spans="3:8">
      <c r="C1063" s="45"/>
      <c r="D1063" s="65"/>
      <c r="E1063" s="45"/>
      <c r="F1063" s="40"/>
      <c r="G1063" s="50">
        <v>0</v>
      </c>
      <c r="H1063" s="61">
        <v>0</v>
      </c>
    </row>
    <row r="1064" spans="3:8">
      <c r="C1064" s="51" t="s">
        <v>43</v>
      </c>
      <c r="D1064" s="51"/>
      <c r="E1064" s="51"/>
      <c r="F1064" s="52"/>
      <c r="G1064" s="51"/>
      <c r="H1064" s="53">
        <v>100.116666666667</v>
      </c>
    </row>
    <row r="1065" spans="3:8" ht="15.75">
      <c r="C1065" s="66" t="s">
        <v>44</v>
      </c>
      <c r="D1065" s="67"/>
      <c r="E1065" s="67"/>
      <c r="F1065" s="68"/>
      <c r="G1065" s="69"/>
      <c r="H1065" s="53">
        <v>127.384978897633</v>
      </c>
    </row>
    <row r="1066" spans="3:8" ht="15.75">
      <c r="C1066" s="66" t="s">
        <v>45</v>
      </c>
      <c r="D1066" s="67"/>
      <c r="E1066" s="67"/>
      <c r="F1066" s="68"/>
      <c r="G1066" s="69"/>
      <c r="H1066" s="70">
        <v>31.381471742440802</v>
      </c>
    </row>
    <row r="1067" spans="3:8" ht="15.75">
      <c r="C1067" s="66" t="s">
        <v>46</v>
      </c>
      <c r="D1067" s="67"/>
      <c r="E1067" s="67"/>
      <c r="F1067" s="68"/>
      <c r="G1067" s="69"/>
      <c r="H1067" s="53">
        <v>158.77000000000001</v>
      </c>
    </row>
    <row r="1068" spans="3:8" ht="15.75">
      <c r="C1068" s="110"/>
      <c r="D1068" s="110"/>
      <c r="E1068" s="110"/>
      <c r="F1068" s="111"/>
      <c r="G1068" s="110"/>
      <c r="H1068" s="112"/>
    </row>
    <row r="1069" spans="3:8">
      <c r="C1069" s="22" t="s">
        <v>23</v>
      </c>
      <c r="D1069" s="23" t="s">
        <v>223</v>
      </c>
      <c r="E1069" s="23"/>
      <c r="F1069" s="24"/>
      <c r="G1069" s="25"/>
      <c r="H1069" s="26"/>
    </row>
    <row r="1070" spans="3:8">
      <c r="C1070" s="27" t="s">
        <v>25</v>
      </c>
      <c r="D1070" s="28" t="s">
        <v>224</v>
      </c>
      <c r="E1070" s="29"/>
      <c r="F1070" s="30" t="s">
        <v>27</v>
      </c>
      <c r="G1070" s="31" t="s">
        <v>199</v>
      </c>
      <c r="H1070" s="32">
        <v>35.6</v>
      </c>
    </row>
    <row r="1071" spans="3:8">
      <c r="C1071" s="33" t="s">
        <v>29</v>
      </c>
      <c r="D1071" s="33" t="s">
        <v>30</v>
      </c>
      <c r="E1071" s="33" t="s">
        <v>31</v>
      </c>
      <c r="F1071" s="34" t="s">
        <v>32</v>
      </c>
      <c r="G1071" s="35" t="s">
        <v>33</v>
      </c>
      <c r="H1071" s="35" t="s">
        <v>34</v>
      </c>
    </row>
    <row r="1072" spans="3:8">
      <c r="C1072" s="33"/>
      <c r="D1072" s="33"/>
      <c r="E1072" s="33"/>
      <c r="F1072" s="34"/>
      <c r="G1072" s="36"/>
      <c r="H1072" s="36"/>
    </row>
    <row r="1073" spans="3:8">
      <c r="C1073" s="37" t="s">
        <v>35</v>
      </c>
      <c r="D1073" s="38" t="s">
        <v>36</v>
      </c>
      <c r="E1073" s="39"/>
      <c r="F1073" s="40"/>
      <c r="G1073" s="41"/>
      <c r="H1073" s="42"/>
    </row>
    <row r="1074" spans="3:8">
      <c r="C1074" s="39" t="s">
        <v>49</v>
      </c>
      <c r="D1074" s="65" t="s">
        <v>218</v>
      </c>
      <c r="E1074" s="39" t="s">
        <v>51</v>
      </c>
      <c r="F1074" s="60">
        <v>0.15</v>
      </c>
      <c r="G1074" s="46">
        <v>115.628519264609</v>
      </c>
      <c r="H1074" s="47">
        <v>17.344277889691298</v>
      </c>
    </row>
    <row r="1075" spans="3:8">
      <c r="C1075" s="39" t="s">
        <v>49</v>
      </c>
      <c r="D1075" s="65" t="s">
        <v>192</v>
      </c>
      <c r="E1075" s="39" t="s">
        <v>51</v>
      </c>
      <c r="F1075" s="60">
        <v>0.15</v>
      </c>
      <c r="G1075" s="46">
        <v>57.709977237362303</v>
      </c>
      <c r="H1075" s="47">
        <v>8.6564965856043408</v>
      </c>
    </row>
    <row r="1076" spans="3:8">
      <c r="C1076" s="39"/>
      <c r="D1076" s="44"/>
      <c r="E1076" s="39"/>
      <c r="F1076" s="82"/>
      <c r="G1076" s="46"/>
      <c r="H1076" s="47"/>
    </row>
    <row r="1077" spans="3:8">
      <c r="C1077" s="39"/>
      <c r="D1077" s="44"/>
      <c r="E1077" s="39"/>
      <c r="F1077" s="117"/>
      <c r="G1077" s="46"/>
      <c r="H1077" s="47"/>
    </row>
    <row r="1078" spans="3:8">
      <c r="C1078" s="39"/>
      <c r="D1078" s="65"/>
      <c r="E1078" s="39"/>
      <c r="F1078" s="60"/>
      <c r="G1078" s="46">
        <v>0</v>
      </c>
      <c r="H1078" s="47">
        <v>0</v>
      </c>
    </row>
    <row r="1079" spans="3:8">
      <c r="C1079" s="43"/>
      <c r="D1079" s="65"/>
      <c r="E1079" s="39"/>
      <c r="F1079" s="60"/>
      <c r="G1079" s="46">
        <v>0</v>
      </c>
      <c r="H1079" s="47">
        <v>0</v>
      </c>
    </row>
    <row r="1080" spans="3:8">
      <c r="C1080" s="43"/>
      <c r="D1080" s="65"/>
      <c r="E1080" s="39"/>
      <c r="F1080" s="75"/>
      <c r="G1080" s="46">
        <v>0</v>
      </c>
      <c r="H1080" s="47">
        <v>0</v>
      </c>
    </row>
    <row r="1081" spans="3:8">
      <c r="C1081" s="51" t="s">
        <v>37</v>
      </c>
      <c r="D1081" s="51"/>
      <c r="E1081" s="51"/>
      <c r="F1081" s="52"/>
      <c r="G1081" s="51"/>
      <c r="H1081" s="53">
        <v>26.0007744752956</v>
      </c>
    </row>
    <row r="1082" spans="3:8">
      <c r="C1082" s="54" t="s">
        <v>38</v>
      </c>
      <c r="D1082" s="55" t="s">
        <v>39</v>
      </c>
      <c r="E1082" s="56"/>
      <c r="F1082" s="57"/>
      <c r="G1082" s="58"/>
      <c r="H1082" s="58"/>
    </row>
    <row r="1083" spans="3:8">
      <c r="C1083" s="39" t="s">
        <v>53</v>
      </c>
      <c r="D1083" s="76" t="s">
        <v>136</v>
      </c>
      <c r="E1083" s="39" t="s">
        <v>28</v>
      </c>
      <c r="F1083" s="105">
        <v>0.48749999999999999</v>
      </c>
      <c r="G1083" s="62">
        <v>2.6000774475295598</v>
      </c>
      <c r="H1083" s="61">
        <v>1.26753775567066</v>
      </c>
    </row>
    <row r="1084" spans="3:8">
      <c r="C1084" s="39"/>
      <c r="D1084" s="76"/>
      <c r="E1084" s="39"/>
      <c r="F1084" s="115"/>
      <c r="G1084" s="47">
        <v>0</v>
      </c>
      <c r="H1084" s="61">
        <v>0</v>
      </c>
    </row>
    <row r="1085" spans="3:8">
      <c r="C1085" s="39"/>
      <c r="D1085" s="76"/>
      <c r="E1085" s="39"/>
      <c r="F1085" s="116"/>
      <c r="G1085" s="47">
        <v>0</v>
      </c>
      <c r="H1085" s="61">
        <v>0</v>
      </c>
    </row>
    <row r="1086" spans="3:8">
      <c r="C1086" s="39"/>
      <c r="D1086" s="76"/>
      <c r="E1086" s="39"/>
      <c r="F1086" s="40"/>
      <c r="G1086" s="47">
        <v>0</v>
      </c>
      <c r="H1086" s="61">
        <v>0</v>
      </c>
    </row>
    <row r="1087" spans="3:8">
      <c r="C1087" s="39"/>
      <c r="D1087" s="76"/>
      <c r="E1087" s="39"/>
      <c r="F1087" s="40"/>
      <c r="G1087" s="47">
        <v>0</v>
      </c>
      <c r="H1087" s="61">
        <v>0</v>
      </c>
    </row>
    <row r="1088" spans="3:8">
      <c r="C1088" s="39"/>
      <c r="D1088" s="76"/>
      <c r="E1088" s="39"/>
      <c r="F1088" s="40"/>
      <c r="G1088" s="47">
        <v>0</v>
      </c>
      <c r="H1088" s="61">
        <v>0</v>
      </c>
    </row>
    <row r="1089" spans="3:8">
      <c r="C1089" s="39"/>
      <c r="D1089" s="76"/>
      <c r="E1089" s="39"/>
      <c r="F1089" s="40"/>
      <c r="G1089" s="62">
        <v>0</v>
      </c>
      <c r="H1089" s="61">
        <v>0</v>
      </c>
    </row>
    <row r="1090" spans="3:8">
      <c r="C1090" s="39"/>
      <c r="D1090" s="44"/>
      <c r="E1090" s="39"/>
      <c r="F1090" s="49"/>
      <c r="G1090" s="47">
        <v>0</v>
      </c>
      <c r="H1090" s="61">
        <v>0</v>
      </c>
    </row>
    <row r="1091" spans="3:8">
      <c r="C1091" s="51" t="s">
        <v>40</v>
      </c>
      <c r="D1091" s="51"/>
      <c r="E1091" s="51"/>
      <c r="F1091" s="52"/>
      <c r="G1091" s="51"/>
      <c r="H1091" s="53">
        <v>1.26753775567066</v>
      </c>
    </row>
    <row r="1092" spans="3:8">
      <c r="C1092" s="54" t="s">
        <v>41</v>
      </c>
      <c r="D1092" s="55" t="s">
        <v>42</v>
      </c>
      <c r="E1092" s="56"/>
      <c r="F1092" s="63"/>
      <c r="G1092" s="64"/>
      <c r="H1092" s="64">
        <v>0</v>
      </c>
    </row>
    <row r="1093" spans="3:8">
      <c r="C1093" s="45" t="s">
        <v>77</v>
      </c>
      <c r="D1093" s="65" t="s">
        <v>205</v>
      </c>
      <c r="E1093" s="45" t="s">
        <v>28</v>
      </c>
      <c r="F1093" s="40">
        <v>1</v>
      </c>
      <c r="G1093" s="50">
        <v>1.298</v>
      </c>
      <c r="H1093" s="50">
        <v>1.298</v>
      </c>
    </row>
    <row r="1094" spans="3:8">
      <c r="C1094" s="45"/>
      <c r="D1094" s="65"/>
      <c r="E1094" s="45"/>
      <c r="F1094" s="40"/>
      <c r="G1094" s="50">
        <v>0</v>
      </c>
      <c r="H1094" s="50">
        <v>0</v>
      </c>
    </row>
    <row r="1095" spans="3:8">
      <c r="C1095" s="45"/>
      <c r="D1095" s="65"/>
      <c r="E1095" s="45"/>
      <c r="F1095" s="40"/>
      <c r="G1095" s="50">
        <v>0</v>
      </c>
      <c r="H1095" s="61">
        <v>0</v>
      </c>
    </row>
    <row r="1096" spans="3:8">
      <c r="C1096" s="45"/>
      <c r="D1096" s="65"/>
      <c r="E1096" s="45"/>
      <c r="F1096" s="40"/>
      <c r="G1096" s="50">
        <v>0</v>
      </c>
      <c r="H1096" s="61">
        <v>0</v>
      </c>
    </row>
    <row r="1097" spans="3:8">
      <c r="C1097" s="45"/>
      <c r="D1097" s="65"/>
      <c r="E1097" s="45"/>
      <c r="F1097" s="40"/>
      <c r="G1097" s="50">
        <v>0</v>
      </c>
      <c r="H1097" s="61">
        <v>0</v>
      </c>
    </row>
    <row r="1098" spans="3:8">
      <c r="C1098" s="45"/>
      <c r="D1098" s="65"/>
      <c r="E1098" s="45"/>
      <c r="F1098" s="40"/>
      <c r="G1098" s="50">
        <v>0</v>
      </c>
      <c r="H1098" s="61">
        <v>0</v>
      </c>
    </row>
    <row r="1099" spans="3:8">
      <c r="C1099" s="45"/>
      <c r="D1099" s="65"/>
      <c r="E1099" s="45"/>
      <c r="F1099" s="40"/>
      <c r="G1099" s="50">
        <v>0</v>
      </c>
      <c r="H1099" s="61">
        <v>0</v>
      </c>
    </row>
    <row r="1100" spans="3:8">
      <c r="C1100" s="45"/>
      <c r="D1100" s="65"/>
      <c r="E1100" s="45"/>
      <c r="F1100" s="40"/>
      <c r="G1100" s="50">
        <v>0</v>
      </c>
      <c r="H1100" s="61">
        <v>0</v>
      </c>
    </row>
    <row r="1101" spans="3:8">
      <c r="C1101" s="51" t="s">
        <v>43</v>
      </c>
      <c r="D1101" s="51"/>
      <c r="E1101" s="51"/>
      <c r="F1101" s="52"/>
      <c r="G1101" s="51"/>
      <c r="H1101" s="53">
        <v>1.298</v>
      </c>
    </row>
    <row r="1102" spans="3:8" ht="15.75">
      <c r="C1102" s="66" t="s">
        <v>44</v>
      </c>
      <c r="D1102" s="67"/>
      <c r="E1102" s="67"/>
      <c r="F1102" s="68"/>
      <c r="G1102" s="69"/>
      <c r="H1102" s="53">
        <v>28.5663122309663</v>
      </c>
    </row>
    <row r="1103" spans="3:8" ht="15.75">
      <c r="C1103" s="66" t="s">
        <v>45</v>
      </c>
      <c r="D1103" s="67"/>
      <c r="E1103" s="67"/>
      <c r="F1103" s="68"/>
      <c r="G1103" s="69"/>
      <c r="H1103" s="70">
        <v>7.0373518747622699</v>
      </c>
    </row>
    <row r="1104" spans="3:8" ht="15.75">
      <c r="C1104" s="66" t="s">
        <v>46</v>
      </c>
      <c r="D1104" s="67"/>
      <c r="E1104" s="67"/>
      <c r="F1104" s="68"/>
      <c r="G1104" s="69"/>
      <c r="H1104" s="53">
        <v>35.6</v>
      </c>
    </row>
    <row r="1105" spans="3:8" ht="15.75">
      <c r="C1105" s="110"/>
      <c r="D1105" s="110"/>
      <c r="E1105" s="110"/>
      <c r="F1105" s="111"/>
      <c r="G1105" s="110"/>
      <c r="H1105" s="112"/>
    </row>
    <row r="1106" spans="3:8">
      <c r="C1106" s="22" t="s">
        <v>23</v>
      </c>
      <c r="D1106" s="23" t="s">
        <v>225</v>
      </c>
      <c r="E1106" s="23"/>
      <c r="F1106" s="24"/>
      <c r="G1106" s="25"/>
      <c r="H1106" s="26"/>
    </row>
    <row r="1107" spans="3:8">
      <c r="C1107" s="27" t="s">
        <v>25</v>
      </c>
      <c r="D1107" s="28" t="s">
        <v>226</v>
      </c>
      <c r="E1107" s="29"/>
      <c r="F1107" s="30" t="s">
        <v>27</v>
      </c>
      <c r="G1107" s="31" t="s">
        <v>227</v>
      </c>
      <c r="H1107" s="32">
        <v>560.86</v>
      </c>
    </row>
    <row r="1108" spans="3:8">
      <c r="C1108" s="33" t="s">
        <v>29</v>
      </c>
      <c r="D1108" s="33" t="s">
        <v>30</v>
      </c>
      <c r="E1108" s="33" t="s">
        <v>31</v>
      </c>
      <c r="F1108" s="34" t="s">
        <v>32</v>
      </c>
      <c r="G1108" s="35" t="s">
        <v>33</v>
      </c>
      <c r="H1108" s="35" t="s">
        <v>34</v>
      </c>
    </row>
    <row r="1109" spans="3:8">
      <c r="C1109" s="33"/>
      <c r="D1109" s="33"/>
      <c r="E1109" s="33"/>
      <c r="F1109" s="34"/>
      <c r="G1109" s="36"/>
      <c r="H1109" s="36"/>
    </row>
    <row r="1110" spans="3:8">
      <c r="C1110" s="37" t="s">
        <v>35</v>
      </c>
      <c r="D1110" s="38" t="s">
        <v>36</v>
      </c>
      <c r="E1110" s="39"/>
      <c r="F1110" s="40"/>
      <c r="G1110" s="41"/>
      <c r="H1110" s="42"/>
    </row>
    <row r="1111" spans="3:8">
      <c r="C1111" s="39"/>
      <c r="D1111" s="65" t="s">
        <v>228</v>
      </c>
      <c r="E1111" s="45"/>
      <c r="F1111" s="40"/>
      <c r="G1111" s="50"/>
      <c r="H1111" s="47">
        <v>0</v>
      </c>
    </row>
    <row r="1112" spans="3:8">
      <c r="C1112" s="39" t="s">
        <v>134</v>
      </c>
      <c r="D1112" s="65" t="s">
        <v>225</v>
      </c>
      <c r="E1112" s="45" t="s">
        <v>59</v>
      </c>
      <c r="F1112" s="40">
        <v>1</v>
      </c>
      <c r="G1112" s="50">
        <v>450</v>
      </c>
      <c r="H1112" s="47">
        <v>450</v>
      </c>
    </row>
    <row r="1113" spans="3:8">
      <c r="C1113" s="39"/>
      <c r="D1113" s="44"/>
      <c r="E1113" s="39"/>
      <c r="F1113" s="82"/>
      <c r="G1113" s="46">
        <v>0</v>
      </c>
      <c r="H1113" s="47">
        <v>0</v>
      </c>
    </row>
    <row r="1114" spans="3:8">
      <c r="C1114" s="39"/>
      <c r="D1114" s="44"/>
      <c r="E1114" s="39"/>
      <c r="F1114" s="117"/>
      <c r="G1114" s="46">
        <v>0</v>
      </c>
      <c r="H1114" s="47">
        <v>0</v>
      </c>
    </row>
    <row r="1115" spans="3:8">
      <c r="C1115" s="39"/>
      <c r="D1115" s="65"/>
      <c r="E1115" s="39"/>
      <c r="F1115" s="60"/>
      <c r="G1115" s="46">
        <v>0</v>
      </c>
      <c r="H1115" s="47">
        <v>0</v>
      </c>
    </row>
    <row r="1116" spans="3:8">
      <c r="C1116" s="43"/>
      <c r="D1116" s="65"/>
      <c r="E1116" s="39"/>
      <c r="F1116" s="60"/>
      <c r="G1116" s="46">
        <v>0</v>
      </c>
      <c r="H1116" s="47">
        <v>0</v>
      </c>
    </row>
    <row r="1117" spans="3:8">
      <c r="C1117" s="43"/>
      <c r="D1117" s="65"/>
      <c r="E1117" s="39"/>
      <c r="F1117" s="75"/>
      <c r="G1117" s="46">
        <v>0</v>
      </c>
      <c r="H1117" s="47">
        <v>0</v>
      </c>
    </row>
    <row r="1118" spans="3:8">
      <c r="C1118" s="51" t="s">
        <v>37</v>
      </c>
      <c r="D1118" s="51"/>
      <c r="E1118" s="51"/>
      <c r="F1118" s="52"/>
      <c r="G1118" s="51"/>
      <c r="H1118" s="53">
        <v>450</v>
      </c>
    </row>
    <row r="1119" spans="3:8">
      <c r="C1119" s="54" t="s">
        <v>38</v>
      </c>
      <c r="D1119" s="55" t="s">
        <v>39</v>
      </c>
      <c r="E1119" s="56"/>
      <c r="F1119" s="57"/>
      <c r="G1119" s="58"/>
      <c r="H1119" s="58"/>
    </row>
    <row r="1120" spans="3:8">
      <c r="C1120" s="39"/>
      <c r="D1120" s="76"/>
      <c r="E1120" s="39"/>
      <c r="F1120" s="115"/>
      <c r="G1120" s="47">
        <v>0</v>
      </c>
      <c r="H1120" s="61">
        <v>0</v>
      </c>
    </row>
    <row r="1121" spans="3:8">
      <c r="C1121" s="39"/>
      <c r="D1121" s="76"/>
      <c r="E1121" s="39"/>
      <c r="F1121" s="115"/>
      <c r="G1121" s="47">
        <v>0</v>
      </c>
      <c r="H1121" s="61">
        <v>0</v>
      </c>
    </row>
    <row r="1122" spans="3:8">
      <c r="C1122" s="39"/>
      <c r="D1122" s="76"/>
      <c r="E1122" s="39"/>
      <c r="F1122" s="116"/>
      <c r="G1122" s="47">
        <v>0</v>
      </c>
      <c r="H1122" s="61">
        <v>0</v>
      </c>
    </row>
    <row r="1123" spans="3:8">
      <c r="C1123" s="39"/>
      <c r="D1123" s="76"/>
      <c r="E1123" s="39"/>
      <c r="F1123" s="115"/>
      <c r="G1123" s="47">
        <v>0</v>
      </c>
      <c r="H1123" s="61">
        <v>0</v>
      </c>
    </row>
    <row r="1124" spans="3:8">
      <c r="C1124" s="39"/>
      <c r="D1124" s="76"/>
      <c r="E1124" s="39"/>
      <c r="F1124" s="40"/>
      <c r="G1124" s="47">
        <v>0</v>
      </c>
      <c r="H1124" s="61">
        <v>0</v>
      </c>
    </row>
    <row r="1125" spans="3:8">
      <c r="C1125" s="39"/>
      <c r="D1125" s="76"/>
      <c r="E1125" s="39"/>
      <c r="F1125" s="40"/>
      <c r="G1125" s="47">
        <v>0</v>
      </c>
      <c r="H1125" s="61">
        <v>0</v>
      </c>
    </row>
    <row r="1126" spans="3:8">
      <c r="C1126" s="39"/>
      <c r="D1126" s="76"/>
      <c r="E1126" s="39"/>
      <c r="F1126" s="40"/>
      <c r="G1126" s="62">
        <v>0</v>
      </c>
      <c r="H1126" s="61">
        <v>0</v>
      </c>
    </row>
    <row r="1127" spans="3:8">
      <c r="C1127" s="39"/>
      <c r="D1127" s="44"/>
      <c r="E1127" s="39"/>
      <c r="F1127" s="49"/>
      <c r="G1127" s="47">
        <v>0</v>
      </c>
      <c r="H1127" s="61">
        <v>0</v>
      </c>
    </row>
    <row r="1128" spans="3:8">
      <c r="C1128" s="51" t="s">
        <v>40</v>
      </c>
      <c r="D1128" s="51"/>
      <c r="E1128" s="51"/>
      <c r="F1128" s="52"/>
      <c r="G1128" s="51"/>
      <c r="H1128" s="53">
        <v>0</v>
      </c>
    </row>
    <row r="1129" spans="3:8">
      <c r="C1129" s="54" t="s">
        <v>41</v>
      </c>
      <c r="D1129" s="55" t="s">
        <v>42</v>
      </c>
      <c r="E1129" s="56"/>
      <c r="F1129" s="63"/>
      <c r="G1129" s="64"/>
      <c r="H1129" s="64">
        <v>0</v>
      </c>
    </row>
    <row r="1130" spans="3:8">
      <c r="C1130" s="45"/>
      <c r="D1130" s="65"/>
      <c r="E1130" s="45"/>
      <c r="F1130" s="40"/>
      <c r="G1130" s="50">
        <v>0</v>
      </c>
      <c r="H1130" s="50">
        <v>0</v>
      </c>
    </row>
    <row r="1131" spans="3:8">
      <c r="C1131" s="45"/>
      <c r="D1131" s="65"/>
      <c r="E1131" s="45"/>
      <c r="F1131" s="40"/>
      <c r="G1131" s="50">
        <v>0</v>
      </c>
      <c r="H1131" s="50">
        <v>0</v>
      </c>
    </row>
    <row r="1132" spans="3:8">
      <c r="C1132" s="45"/>
      <c r="D1132" s="65"/>
      <c r="E1132" s="45"/>
      <c r="F1132" s="40"/>
      <c r="G1132" s="50">
        <v>0</v>
      </c>
      <c r="H1132" s="61">
        <v>0</v>
      </c>
    </row>
    <row r="1133" spans="3:8">
      <c r="C1133" s="45"/>
      <c r="D1133" s="65"/>
      <c r="E1133" s="45"/>
      <c r="F1133" s="40"/>
      <c r="G1133" s="50">
        <v>0</v>
      </c>
      <c r="H1133" s="61">
        <v>0</v>
      </c>
    </row>
    <row r="1134" spans="3:8">
      <c r="C1134" s="45"/>
      <c r="D1134" s="65"/>
      <c r="E1134" s="45"/>
      <c r="F1134" s="40"/>
      <c r="G1134" s="50">
        <v>0</v>
      </c>
      <c r="H1134" s="61">
        <v>0</v>
      </c>
    </row>
    <row r="1135" spans="3:8">
      <c r="C1135" s="45"/>
      <c r="D1135" s="65"/>
      <c r="E1135" s="45"/>
      <c r="F1135" s="40"/>
      <c r="G1135" s="50">
        <v>0</v>
      </c>
      <c r="H1135" s="61">
        <v>0</v>
      </c>
    </row>
    <row r="1136" spans="3:8">
      <c r="C1136" s="45"/>
      <c r="D1136" s="65"/>
      <c r="E1136" s="45"/>
      <c r="F1136" s="40"/>
      <c r="G1136" s="50">
        <v>0</v>
      </c>
      <c r="H1136" s="61">
        <v>0</v>
      </c>
    </row>
    <row r="1137" spans="3:8">
      <c r="C1137" s="45"/>
      <c r="D1137" s="65"/>
      <c r="E1137" s="45"/>
      <c r="F1137" s="40"/>
      <c r="G1137" s="50">
        <v>0</v>
      </c>
      <c r="H1137" s="61">
        <v>0</v>
      </c>
    </row>
    <row r="1138" spans="3:8">
      <c r="C1138" s="51" t="s">
        <v>43</v>
      </c>
      <c r="D1138" s="51"/>
      <c r="E1138" s="51"/>
      <c r="F1138" s="52"/>
      <c r="G1138" s="51"/>
      <c r="H1138" s="53">
        <v>0</v>
      </c>
    </row>
    <row r="1139" spans="3:8" ht="15.75">
      <c r="C1139" s="66" t="s">
        <v>44</v>
      </c>
      <c r="D1139" s="67"/>
      <c r="E1139" s="67"/>
      <c r="F1139" s="68"/>
      <c r="G1139" s="69"/>
      <c r="H1139" s="53">
        <v>450</v>
      </c>
    </row>
    <row r="1140" spans="3:8" ht="15.75">
      <c r="C1140" s="66" t="s">
        <v>45</v>
      </c>
      <c r="D1140" s="67"/>
      <c r="E1140" s="67"/>
      <c r="F1140" s="68"/>
      <c r="G1140" s="69"/>
      <c r="H1140" s="70">
        <v>110.858143607706</v>
      </c>
    </row>
    <row r="1141" spans="3:8" ht="15.75">
      <c r="C1141" s="66" t="s">
        <v>46</v>
      </c>
      <c r="D1141" s="67"/>
      <c r="E1141" s="67"/>
      <c r="F1141" s="68"/>
      <c r="G1141" s="69"/>
      <c r="H1141" s="53">
        <v>560.86</v>
      </c>
    </row>
    <row r="1142" spans="3:8" ht="15.75">
      <c r="C1142" s="110"/>
      <c r="D1142" s="110"/>
      <c r="E1142" s="110"/>
      <c r="F1142" s="111"/>
      <c r="G1142" s="110"/>
      <c r="H1142" s="112"/>
    </row>
    <row r="1143" spans="3:8">
      <c r="C1143" s="22" t="s">
        <v>23</v>
      </c>
      <c r="D1143" s="23" t="s">
        <v>229</v>
      </c>
      <c r="E1143" s="23"/>
      <c r="F1143" s="24"/>
      <c r="G1143" s="25"/>
      <c r="H1143" s="26"/>
    </row>
    <row r="1144" spans="3:8">
      <c r="C1144" s="27" t="s">
        <v>25</v>
      </c>
      <c r="D1144" s="28" t="s">
        <v>230</v>
      </c>
      <c r="E1144" s="29"/>
      <c r="F1144" s="30" t="s">
        <v>27</v>
      </c>
      <c r="G1144" s="31" t="s">
        <v>199</v>
      </c>
      <c r="H1144" s="32">
        <v>32.909999999999997</v>
      </c>
    </row>
    <row r="1145" spans="3:8">
      <c r="C1145" s="33" t="s">
        <v>29</v>
      </c>
      <c r="D1145" s="33" t="s">
        <v>30</v>
      </c>
      <c r="E1145" s="33" t="s">
        <v>31</v>
      </c>
      <c r="F1145" s="34" t="s">
        <v>32</v>
      </c>
      <c r="G1145" s="35" t="s">
        <v>33</v>
      </c>
      <c r="H1145" s="35" t="s">
        <v>34</v>
      </c>
    </row>
    <row r="1146" spans="3:8">
      <c r="C1146" s="33"/>
      <c r="D1146" s="33"/>
      <c r="E1146" s="33"/>
      <c r="F1146" s="34"/>
      <c r="G1146" s="36"/>
      <c r="H1146" s="36"/>
    </row>
    <row r="1147" spans="3:8">
      <c r="C1147" s="37" t="s">
        <v>35</v>
      </c>
      <c r="D1147" s="38" t="s">
        <v>36</v>
      </c>
      <c r="E1147" s="39"/>
      <c r="F1147" s="40"/>
      <c r="G1147" s="41"/>
      <c r="H1147" s="42"/>
    </row>
    <row r="1148" spans="3:8">
      <c r="C1148" s="39"/>
      <c r="D1148" s="71"/>
      <c r="E1148" s="39"/>
      <c r="F1148" s="118"/>
      <c r="G1148" s="46"/>
      <c r="H1148" s="47">
        <v>0</v>
      </c>
    </row>
    <row r="1149" spans="3:8">
      <c r="C1149" s="39"/>
      <c r="D1149" s="65"/>
      <c r="E1149" s="39"/>
      <c r="F1149" s="118"/>
      <c r="G1149" s="46"/>
      <c r="H1149" s="47">
        <v>0</v>
      </c>
    </row>
    <row r="1150" spans="3:8">
      <c r="C1150" s="39" t="s">
        <v>49</v>
      </c>
      <c r="D1150" s="44" t="s">
        <v>218</v>
      </c>
      <c r="E1150" s="39" t="s">
        <v>51</v>
      </c>
      <c r="F1150" s="82">
        <v>0.22155780092298999</v>
      </c>
      <c r="G1150" s="46">
        <v>115.628519264609</v>
      </c>
      <c r="H1150" s="47">
        <v>25.618400452248299</v>
      </c>
    </row>
    <row r="1151" spans="3:8">
      <c r="C1151" s="39"/>
      <c r="D1151" s="44"/>
      <c r="E1151" s="39"/>
      <c r="F1151" s="117"/>
      <c r="G1151" s="46"/>
      <c r="H1151" s="47"/>
    </row>
    <row r="1152" spans="3:8">
      <c r="C1152" s="39"/>
      <c r="D1152" s="65"/>
      <c r="E1152" s="39"/>
      <c r="F1152" s="60"/>
      <c r="G1152" s="46">
        <v>0</v>
      </c>
      <c r="H1152" s="47">
        <v>0</v>
      </c>
    </row>
    <row r="1153" spans="3:8">
      <c r="C1153" s="43"/>
      <c r="D1153" s="65"/>
      <c r="E1153" s="39"/>
      <c r="F1153" s="60"/>
      <c r="G1153" s="46">
        <v>0</v>
      </c>
      <c r="H1153" s="47">
        <v>0</v>
      </c>
    </row>
    <row r="1154" spans="3:8">
      <c r="C1154" s="43"/>
      <c r="D1154" s="65"/>
      <c r="E1154" s="39"/>
      <c r="F1154" s="75"/>
      <c r="G1154" s="46">
        <v>0</v>
      </c>
      <c r="H1154" s="47">
        <v>0</v>
      </c>
    </row>
    <row r="1155" spans="3:8">
      <c r="C1155" s="51" t="s">
        <v>37</v>
      </c>
      <c r="D1155" s="51"/>
      <c r="E1155" s="51"/>
      <c r="F1155" s="52"/>
      <c r="G1155" s="51"/>
      <c r="H1155" s="53">
        <v>25.618400452248299</v>
      </c>
    </row>
    <row r="1156" spans="3:8">
      <c r="C1156" s="54" t="s">
        <v>38</v>
      </c>
      <c r="D1156" s="55" t="s">
        <v>39</v>
      </c>
      <c r="E1156" s="56"/>
      <c r="F1156" s="57"/>
      <c r="G1156" s="58"/>
      <c r="H1156" s="58"/>
    </row>
    <row r="1157" spans="3:8">
      <c r="C1157" s="39"/>
      <c r="D1157" s="76"/>
      <c r="E1157" s="39"/>
      <c r="F1157" s="116"/>
      <c r="G1157" s="62"/>
      <c r="H1157" s="61"/>
    </row>
    <row r="1158" spans="3:8">
      <c r="C1158" s="39"/>
      <c r="D1158" s="76"/>
      <c r="E1158" s="39"/>
      <c r="F1158" s="115"/>
      <c r="G1158" s="47">
        <v>0</v>
      </c>
      <c r="H1158" s="61">
        <v>0</v>
      </c>
    </row>
    <row r="1159" spans="3:8">
      <c r="C1159" s="39"/>
      <c r="D1159" s="76"/>
      <c r="E1159" s="39"/>
      <c r="F1159" s="116"/>
      <c r="G1159" s="47">
        <v>0</v>
      </c>
      <c r="H1159" s="61">
        <v>0</v>
      </c>
    </row>
    <row r="1160" spans="3:8">
      <c r="C1160" s="39"/>
      <c r="D1160" s="76"/>
      <c r="E1160" s="39"/>
      <c r="F1160" s="40"/>
      <c r="G1160" s="47">
        <v>0</v>
      </c>
      <c r="H1160" s="61">
        <v>0</v>
      </c>
    </row>
    <row r="1161" spans="3:8">
      <c r="C1161" s="39"/>
      <c r="D1161" s="76"/>
      <c r="E1161" s="39"/>
      <c r="F1161" s="40"/>
      <c r="G1161" s="47">
        <v>0</v>
      </c>
      <c r="H1161" s="61">
        <v>0</v>
      </c>
    </row>
    <row r="1162" spans="3:8">
      <c r="C1162" s="39"/>
      <c r="D1162" s="76"/>
      <c r="E1162" s="39"/>
      <c r="F1162" s="40"/>
      <c r="G1162" s="47">
        <v>0</v>
      </c>
      <c r="H1162" s="61">
        <v>0</v>
      </c>
    </row>
    <row r="1163" spans="3:8">
      <c r="C1163" s="39"/>
      <c r="D1163" s="76"/>
      <c r="E1163" s="39"/>
      <c r="F1163" s="40"/>
      <c r="G1163" s="62">
        <v>0</v>
      </c>
      <c r="H1163" s="61">
        <v>0</v>
      </c>
    </row>
    <row r="1164" spans="3:8">
      <c r="C1164" s="39"/>
      <c r="D1164" s="44"/>
      <c r="E1164" s="39"/>
      <c r="F1164" s="49"/>
      <c r="G1164" s="47">
        <v>0</v>
      </c>
      <c r="H1164" s="61">
        <v>0</v>
      </c>
    </row>
    <row r="1165" spans="3:8">
      <c r="C1165" s="51" t="s">
        <v>40</v>
      </c>
      <c r="D1165" s="51"/>
      <c r="E1165" s="51"/>
      <c r="F1165" s="52"/>
      <c r="G1165" s="51"/>
      <c r="H1165" s="53">
        <v>0</v>
      </c>
    </row>
    <row r="1166" spans="3:8">
      <c r="C1166" s="54" t="s">
        <v>41</v>
      </c>
      <c r="D1166" s="55" t="s">
        <v>42</v>
      </c>
      <c r="E1166" s="56"/>
      <c r="F1166" s="63"/>
      <c r="G1166" s="64"/>
      <c r="H1166" s="64">
        <v>0</v>
      </c>
    </row>
    <row r="1167" spans="3:8">
      <c r="C1167" s="45" t="s">
        <v>77</v>
      </c>
      <c r="D1167" s="65" t="s">
        <v>205</v>
      </c>
      <c r="E1167" s="45" t="s">
        <v>28</v>
      </c>
      <c r="F1167" s="40">
        <v>1</v>
      </c>
      <c r="G1167" s="50">
        <v>0.78469283731439798</v>
      </c>
      <c r="H1167" s="50">
        <v>0.78469283731439798</v>
      </c>
    </row>
    <row r="1168" spans="3:8">
      <c r="C1168" s="45"/>
      <c r="D1168" s="65"/>
      <c r="E1168" s="45"/>
      <c r="F1168" s="40"/>
      <c r="G1168" s="50">
        <v>0</v>
      </c>
      <c r="H1168" s="50">
        <v>0</v>
      </c>
    </row>
    <row r="1169" spans="3:8">
      <c r="C1169" s="45"/>
      <c r="D1169" s="65"/>
      <c r="E1169" s="45"/>
      <c r="F1169" s="40"/>
      <c r="G1169" s="50">
        <v>0</v>
      </c>
      <c r="H1169" s="61">
        <v>0</v>
      </c>
    </row>
    <row r="1170" spans="3:8">
      <c r="C1170" s="45"/>
      <c r="D1170" s="65"/>
      <c r="E1170" s="45"/>
      <c r="F1170" s="40"/>
      <c r="G1170" s="50">
        <v>0</v>
      </c>
      <c r="H1170" s="61">
        <v>0</v>
      </c>
    </row>
    <row r="1171" spans="3:8">
      <c r="C1171" s="45"/>
      <c r="D1171" s="65"/>
      <c r="E1171" s="45"/>
      <c r="F1171" s="40"/>
      <c r="G1171" s="50">
        <v>0</v>
      </c>
      <c r="H1171" s="61">
        <v>0</v>
      </c>
    </row>
    <row r="1172" spans="3:8">
      <c r="C1172" s="45"/>
      <c r="D1172" s="65"/>
      <c r="E1172" s="45"/>
      <c r="F1172" s="40"/>
      <c r="G1172" s="50">
        <v>0</v>
      </c>
      <c r="H1172" s="61">
        <v>0</v>
      </c>
    </row>
    <row r="1173" spans="3:8">
      <c r="C1173" s="45"/>
      <c r="D1173" s="65"/>
      <c r="E1173" s="45"/>
      <c r="F1173" s="40"/>
      <c r="G1173" s="50">
        <v>0</v>
      </c>
      <c r="H1173" s="61">
        <v>0</v>
      </c>
    </row>
    <row r="1174" spans="3:8">
      <c r="C1174" s="45"/>
      <c r="D1174" s="65"/>
      <c r="E1174" s="45"/>
      <c r="F1174" s="40"/>
      <c r="G1174" s="50">
        <v>0</v>
      </c>
      <c r="H1174" s="61">
        <v>0</v>
      </c>
    </row>
    <row r="1175" spans="3:8">
      <c r="C1175" s="51" t="s">
        <v>43</v>
      </c>
      <c r="D1175" s="51"/>
      <c r="E1175" s="51"/>
      <c r="F1175" s="52"/>
      <c r="G1175" s="51"/>
      <c r="H1175" s="53">
        <v>0.78469283731439798</v>
      </c>
    </row>
    <row r="1176" spans="3:8" ht="15.75">
      <c r="C1176" s="66" t="s">
        <v>44</v>
      </c>
      <c r="D1176" s="67"/>
      <c r="E1176" s="67"/>
      <c r="F1176" s="68"/>
      <c r="G1176" s="69"/>
      <c r="H1176" s="53">
        <v>26.403093289562701</v>
      </c>
    </row>
    <row r="1177" spans="3:8" ht="15.75">
      <c r="C1177" s="66" t="s">
        <v>45</v>
      </c>
      <c r="D1177" s="67"/>
      <c r="E1177" s="67"/>
      <c r="F1177" s="68"/>
      <c r="G1177" s="69"/>
      <c r="H1177" s="70">
        <v>6.5044397946266397</v>
      </c>
    </row>
    <row r="1178" spans="3:8" ht="15.75">
      <c r="C1178" s="66" t="s">
        <v>46</v>
      </c>
      <c r="D1178" s="67"/>
      <c r="E1178" s="67"/>
      <c r="F1178" s="68"/>
      <c r="G1178" s="69"/>
      <c r="H1178" s="53">
        <v>32.909999999999997</v>
      </c>
    </row>
    <row r="1179" spans="3:8" ht="15.75">
      <c r="C1179" s="110"/>
      <c r="D1179" s="110"/>
      <c r="E1179" s="110"/>
      <c r="F1179" s="111"/>
      <c r="G1179" s="110"/>
      <c r="H1179" s="112"/>
    </row>
    <row r="1180" spans="3:8">
      <c r="C1180" s="22" t="s">
        <v>23</v>
      </c>
      <c r="D1180" s="23" t="s">
        <v>231</v>
      </c>
      <c r="E1180" s="23"/>
      <c r="F1180" s="24"/>
      <c r="G1180" s="25"/>
      <c r="H1180" s="26"/>
    </row>
    <row r="1181" spans="3:8">
      <c r="C1181" s="27" t="s">
        <v>25</v>
      </c>
      <c r="D1181" s="28" t="s">
        <v>232</v>
      </c>
      <c r="E1181" s="29"/>
      <c r="F1181" s="30" t="s">
        <v>27</v>
      </c>
      <c r="G1181" s="31" t="s">
        <v>199</v>
      </c>
      <c r="H1181" s="32">
        <v>1438.48</v>
      </c>
    </row>
    <row r="1182" spans="3:8">
      <c r="C1182" s="33" t="s">
        <v>29</v>
      </c>
      <c r="D1182" s="33" t="s">
        <v>30</v>
      </c>
      <c r="E1182" s="33" t="s">
        <v>31</v>
      </c>
      <c r="F1182" s="34" t="s">
        <v>32</v>
      </c>
      <c r="G1182" s="35" t="s">
        <v>33</v>
      </c>
      <c r="H1182" s="35" t="s">
        <v>34</v>
      </c>
    </row>
    <row r="1183" spans="3:8">
      <c r="C1183" s="33"/>
      <c r="D1183" s="33"/>
      <c r="E1183" s="33"/>
      <c r="F1183" s="34"/>
      <c r="G1183" s="36"/>
      <c r="H1183" s="36"/>
    </row>
    <row r="1184" spans="3:8">
      <c r="C1184" s="37" t="s">
        <v>35</v>
      </c>
      <c r="D1184" s="38" t="s">
        <v>36</v>
      </c>
      <c r="E1184" s="39"/>
      <c r="F1184" s="40"/>
      <c r="G1184" s="41"/>
      <c r="H1184" s="42"/>
    </row>
    <row r="1185" spans="3:8">
      <c r="C1185" s="39" t="s">
        <v>129</v>
      </c>
      <c r="D1185" s="71" t="s">
        <v>200</v>
      </c>
      <c r="E1185" s="39" t="s">
        <v>51</v>
      </c>
      <c r="F1185" s="60">
        <v>3.93834837639033</v>
      </c>
      <c r="G1185" s="46">
        <v>78.795486071171297</v>
      </c>
      <c r="H1185" s="47">
        <v>310.32407463528398</v>
      </c>
    </row>
    <row r="1186" spans="3:8">
      <c r="C1186" s="39" t="s">
        <v>49</v>
      </c>
      <c r="D1186" s="65" t="s">
        <v>201</v>
      </c>
      <c r="E1186" s="39" t="s">
        <v>51</v>
      </c>
      <c r="F1186" s="60">
        <v>0.88610725133222601</v>
      </c>
      <c r="G1186" s="46">
        <v>45.411750977784699</v>
      </c>
      <c r="H1186" s="47">
        <v>40.2396818371083</v>
      </c>
    </row>
    <row r="1187" spans="3:8">
      <c r="C1187" s="39" t="s">
        <v>129</v>
      </c>
      <c r="D1187" s="65" t="s">
        <v>202</v>
      </c>
      <c r="E1187" s="39" t="s">
        <v>51</v>
      </c>
      <c r="F1187" s="60">
        <v>0.97432753348220602</v>
      </c>
      <c r="G1187" s="46">
        <v>72.4420787409273</v>
      </c>
      <c r="H1187" s="47">
        <v>70.582311899971401</v>
      </c>
    </row>
    <row r="1188" spans="3:8">
      <c r="C1188" s="39" t="s">
        <v>49</v>
      </c>
      <c r="D1188" s="65" t="s">
        <v>160</v>
      </c>
      <c r="E1188" s="39" t="s">
        <v>51</v>
      </c>
      <c r="F1188" s="60">
        <v>0.76120932661538199</v>
      </c>
      <c r="G1188" s="46">
        <v>74.717676591289106</v>
      </c>
      <c r="H1188" s="47">
        <v>56.875792284321101</v>
      </c>
    </row>
    <row r="1189" spans="3:8">
      <c r="C1189" s="39" t="s">
        <v>129</v>
      </c>
      <c r="D1189" s="65" t="s">
        <v>203</v>
      </c>
      <c r="E1189" s="108" t="s">
        <v>51</v>
      </c>
      <c r="F1189" s="60">
        <v>4.7303930263676799</v>
      </c>
      <c r="G1189" s="46">
        <v>106.731710416406</v>
      </c>
      <c r="H1189" s="47">
        <v>504.88293864605998</v>
      </c>
    </row>
    <row r="1190" spans="3:8">
      <c r="C1190" s="39"/>
      <c r="D1190" s="65"/>
      <c r="E1190" s="39"/>
      <c r="F1190" s="60"/>
      <c r="G1190" s="46">
        <v>0</v>
      </c>
      <c r="H1190" s="47">
        <v>0</v>
      </c>
    </row>
    <row r="1191" spans="3:8">
      <c r="C1191" s="43"/>
      <c r="D1191" s="65"/>
      <c r="E1191" s="39"/>
      <c r="F1191" s="60"/>
      <c r="G1191" s="46">
        <v>0</v>
      </c>
      <c r="H1191" s="47">
        <v>0</v>
      </c>
    </row>
    <row r="1192" spans="3:8">
      <c r="C1192" s="43"/>
      <c r="D1192" s="65"/>
      <c r="E1192" s="39"/>
      <c r="F1192" s="75"/>
      <c r="G1192" s="46">
        <v>0</v>
      </c>
      <c r="H1192" s="47">
        <v>0</v>
      </c>
    </row>
    <row r="1193" spans="3:8">
      <c r="C1193" s="51" t="s">
        <v>37</v>
      </c>
      <c r="D1193" s="51"/>
      <c r="E1193" s="51"/>
      <c r="F1193" s="52"/>
      <c r="G1193" s="51"/>
      <c r="H1193" s="53">
        <v>982.904799302745</v>
      </c>
    </row>
    <row r="1194" spans="3:8">
      <c r="C1194" s="54" t="s">
        <v>38</v>
      </c>
      <c r="D1194" s="55" t="s">
        <v>39</v>
      </c>
      <c r="E1194" s="56"/>
      <c r="F1194" s="57"/>
      <c r="G1194" s="58"/>
      <c r="H1194" s="58"/>
    </row>
    <row r="1195" spans="3:8">
      <c r="C1195" s="39" t="s">
        <v>53</v>
      </c>
      <c r="D1195" s="76" t="s">
        <v>136</v>
      </c>
      <c r="E1195" s="39" t="s">
        <v>28</v>
      </c>
      <c r="F1195" s="105">
        <v>0.48749999999999999</v>
      </c>
      <c r="G1195" s="62">
        <v>68.803335951192196</v>
      </c>
      <c r="H1195" s="61">
        <v>33.541626276206202</v>
      </c>
    </row>
    <row r="1196" spans="3:8">
      <c r="C1196" s="39"/>
      <c r="D1196" s="76"/>
      <c r="E1196" s="39"/>
      <c r="F1196" s="116"/>
      <c r="G1196" s="47">
        <v>0</v>
      </c>
      <c r="H1196" s="61">
        <v>0</v>
      </c>
    </row>
    <row r="1197" spans="3:8">
      <c r="C1197" s="39"/>
      <c r="D1197" s="76"/>
      <c r="E1197" s="39"/>
      <c r="F1197" s="40"/>
      <c r="G1197" s="47">
        <v>0</v>
      </c>
      <c r="H1197" s="61">
        <v>0</v>
      </c>
    </row>
    <row r="1198" spans="3:8">
      <c r="C1198" s="39"/>
      <c r="D1198" s="76"/>
      <c r="E1198" s="39"/>
      <c r="F1198" s="40"/>
      <c r="G1198" s="47">
        <v>0</v>
      </c>
      <c r="H1198" s="61">
        <v>0</v>
      </c>
    </row>
    <row r="1199" spans="3:8">
      <c r="C1199" s="39"/>
      <c r="D1199" s="76"/>
      <c r="E1199" s="39"/>
      <c r="F1199" s="40"/>
      <c r="G1199" s="47">
        <v>0</v>
      </c>
      <c r="H1199" s="61">
        <v>0</v>
      </c>
    </row>
    <row r="1200" spans="3:8">
      <c r="C1200" s="39"/>
      <c r="D1200" s="76"/>
      <c r="E1200" s="39"/>
      <c r="F1200" s="40"/>
      <c r="G1200" s="47">
        <v>0</v>
      </c>
      <c r="H1200" s="61">
        <v>0</v>
      </c>
    </row>
    <row r="1201" spans="3:8">
      <c r="C1201" s="39"/>
      <c r="D1201" s="76"/>
      <c r="E1201" s="39"/>
      <c r="F1201" s="40"/>
      <c r="G1201" s="62">
        <v>0</v>
      </c>
      <c r="H1201" s="61">
        <v>0</v>
      </c>
    </row>
    <row r="1202" spans="3:8">
      <c r="C1202" s="39"/>
      <c r="D1202" s="44"/>
      <c r="E1202" s="39"/>
      <c r="F1202" s="49"/>
      <c r="G1202" s="47">
        <v>0</v>
      </c>
      <c r="H1202" s="61">
        <v>0</v>
      </c>
    </row>
    <row r="1203" spans="3:8">
      <c r="C1203" s="51" t="s">
        <v>40</v>
      </c>
      <c r="D1203" s="51"/>
      <c r="E1203" s="51"/>
      <c r="F1203" s="52"/>
      <c r="G1203" s="51"/>
      <c r="H1203" s="53">
        <v>33.541626276206202</v>
      </c>
    </row>
    <row r="1204" spans="3:8">
      <c r="C1204" s="54" t="s">
        <v>41</v>
      </c>
      <c r="D1204" s="55" t="s">
        <v>42</v>
      </c>
      <c r="E1204" s="56"/>
      <c r="F1204" s="63"/>
      <c r="G1204" s="64"/>
      <c r="H1204" s="64">
        <v>0</v>
      </c>
    </row>
    <row r="1205" spans="3:8">
      <c r="C1205" s="45" t="s">
        <v>77</v>
      </c>
      <c r="D1205" s="65" t="s">
        <v>204</v>
      </c>
      <c r="E1205" s="45" t="s">
        <v>28</v>
      </c>
      <c r="F1205" s="40">
        <v>1</v>
      </c>
      <c r="G1205" s="50">
        <v>57.421783657069497</v>
      </c>
      <c r="H1205" s="50">
        <v>57.421783657069497</v>
      </c>
    </row>
    <row r="1206" spans="3:8">
      <c r="C1206" s="45" t="s">
        <v>77</v>
      </c>
      <c r="D1206" s="65" t="s">
        <v>205</v>
      </c>
      <c r="E1206" s="45" t="s">
        <v>55</v>
      </c>
      <c r="F1206" s="40">
        <v>1</v>
      </c>
      <c r="G1206" s="50">
        <v>80.285547460823196</v>
      </c>
      <c r="H1206" s="50">
        <v>80.285547460823196</v>
      </c>
    </row>
    <row r="1207" spans="3:8">
      <c r="C1207" s="45"/>
      <c r="D1207" s="65"/>
      <c r="E1207" s="45"/>
      <c r="F1207" s="40"/>
      <c r="G1207" s="50">
        <v>0</v>
      </c>
      <c r="H1207" s="61">
        <v>0</v>
      </c>
    </row>
    <row r="1208" spans="3:8">
      <c r="C1208" s="45"/>
      <c r="D1208" s="65"/>
      <c r="E1208" s="45"/>
      <c r="F1208" s="40"/>
      <c r="G1208" s="50">
        <v>0</v>
      </c>
      <c r="H1208" s="61">
        <v>0</v>
      </c>
    </row>
    <row r="1209" spans="3:8">
      <c r="C1209" s="45"/>
      <c r="D1209" s="65"/>
      <c r="E1209" s="45"/>
      <c r="F1209" s="40"/>
      <c r="G1209" s="50">
        <v>0</v>
      </c>
      <c r="H1209" s="61">
        <v>0</v>
      </c>
    </row>
    <row r="1210" spans="3:8">
      <c r="C1210" s="45"/>
      <c r="D1210" s="65"/>
      <c r="E1210" s="45"/>
      <c r="F1210" s="40"/>
      <c r="G1210" s="50">
        <v>0</v>
      </c>
      <c r="H1210" s="61">
        <v>0</v>
      </c>
    </row>
    <row r="1211" spans="3:8">
      <c r="C1211" s="45"/>
      <c r="D1211" s="65"/>
      <c r="E1211" s="45"/>
      <c r="F1211" s="40"/>
      <c r="G1211" s="50">
        <v>0</v>
      </c>
      <c r="H1211" s="61">
        <v>0</v>
      </c>
    </row>
    <row r="1212" spans="3:8">
      <c r="C1212" s="51" t="s">
        <v>43</v>
      </c>
      <c r="D1212" s="51"/>
      <c r="E1212" s="51"/>
      <c r="F1212" s="52"/>
      <c r="G1212" s="51"/>
      <c r="H1212" s="53">
        <v>137.70733111789301</v>
      </c>
    </row>
    <row r="1213" spans="3:8" ht="15.75">
      <c r="C1213" s="66" t="s">
        <v>44</v>
      </c>
      <c r="D1213" s="67"/>
      <c r="E1213" s="67"/>
      <c r="F1213" s="68"/>
      <c r="G1213" s="69"/>
      <c r="H1213" s="53">
        <v>1154.15375669684</v>
      </c>
    </row>
    <row r="1214" spans="3:8" ht="15.75">
      <c r="C1214" s="66" t="s">
        <v>45</v>
      </c>
      <c r="D1214" s="67"/>
      <c r="E1214" s="67"/>
      <c r="F1214" s="68"/>
      <c r="G1214" s="69"/>
      <c r="H1214" s="70">
        <v>284.32742867838198</v>
      </c>
    </row>
    <row r="1215" spans="3:8" ht="15.75">
      <c r="C1215" s="66" t="s">
        <v>46</v>
      </c>
      <c r="D1215" s="67"/>
      <c r="E1215" s="67"/>
      <c r="F1215" s="68"/>
      <c r="G1215" s="69"/>
      <c r="H1215" s="53">
        <v>1438.48</v>
      </c>
    </row>
    <row r="1216" spans="3:8" ht="15.75">
      <c r="C1216" s="110"/>
      <c r="D1216" s="110"/>
      <c r="E1216" s="110"/>
      <c r="F1216" s="111"/>
      <c r="G1216" s="110"/>
      <c r="H1216" s="112"/>
    </row>
    <row r="1217" spans="3:8" ht="30">
      <c r="C1217" s="22" t="s">
        <v>23</v>
      </c>
      <c r="D1217" s="23" t="s">
        <v>233</v>
      </c>
      <c r="E1217" s="23"/>
      <c r="F1217" s="24"/>
      <c r="G1217" s="25">
        <v>0</v>
      </c>
      <c r="H1217" s="26"/>
    </row>
    <row r="1218" spans="3:8">
      <c r="C1218" s="27" t="s">
        <v>25</v>
      </c>
      <c r="D1218" s="28" t="s">
        <v>234</v>
      </c>
      <c r="E1218" s="29"/>
      <c r="F1218" s="30" t="s">
        <v>27</v>
      </c>
      <c r="G1218" s="31" t="s">
        <v>128</v>
      </c>
      <c r="H1218" s="32">
        <v>37472.06</v>
      </c>
    </row>
    <row r="1219" spans="3:8">
      <c r="C1219" s="33" t="s">
        <v>29</v>
      </c>
      <c r="D1219" s="33" t="s">
        <v>30</v>
      </c>
      <c r="E1219" s="33" t="s">
        <v>31</v>
      </c>
      <c r="F1219" s="34" t="s">
        <v>32</v>
      </c>
      <c r="G1219" s="35">
        <v>0</v>
      </c>
      <c r="H1219" s="35" t="s">
        <v>34</v>
      </c>
    </row>
    <row r="1220" spans="3:8">
      <c r="C1220" s="33"/>
      <c r="D1220" s="33"/>
      <c r="E1220" s="33"/>
      <c r="F1220" s="34"/>
      <c r="G1220" s="36"/>
      <c r="H1220" s="36"/>
    </row>
    <row r="1221" spans="3:8">
      <c r="C1221" s="37" t="s">
        <v>35</v>
      </c>
      <c r="D1221" s="38" t="s">
        <v>36</v>
      </c>
      <c r="E1221" s="39"/>
      <c r="F1221" s="40"/>
      <c r="G1221" s="41"/>
      <c r="H1221" s="42"/>
    </row>
    <row r="1222" spans="3:8">
      <c r="C1222" s="39" t="s">
        <v>49</v>
      </c>
      <c r="D1222" s="71" t="s">
        <v>158</v>
      </c>
      <c r="E1222" s="39" t="s">
        <v>131</v>
      </c>
      <c r="F1222" s="60">
        <v>106.89407414504601</v>
      </c>
      <c r="G1222" s="46">
        <v>90.031958516899607</v>
      </c>
      <c r="H1222" s="47">
        <v>9623.8828491292206</v>
      </c>
    </row>
    <row r="1223" spans="3:8">
      <c r="C1223" s="39" t="s">
        <v>49</v>
      </c>
      <c r="D1223" s="65" t="s">
        <v>50</v>
      </c>
      <c r="E1223" s="39" t="s">
        <v>131</v>
      </c>
      <c r="F1223" s="60">
        <v>97.469791864076896</v>
      </c>
      <c r="G1223" s="46">
        <v>79.456006436582399</v>
      </c>
      <c r="H1223" s="47">
        <v>7744.5604097244404</v>
      </c>
    </row>
    <row r="1224" spans="3:8">
      <c r="C1224" s="39" t="s">
        <v>49</v>
      </c>
      <c r="D1224" s="65" t="s">
        <v>159</v>
      </c>
      <c r="E1224" s="108" t="s">
        <v>131</v>
      </c>
      <c r="F1224" s="113">
        <v>38.387235495034403</v>
      </c>
      <c r="G1224" s="46">
        <v>89.242314887296502</v>
      </c>
      <c r="H1224" s="47">
        <v>3425.7657577006698</v>
      </c>
    </row>
    <row r="1225" spans="3:8">
      <c r="C1225" s="39" t="s">
        <v>49</v>
      </c>
      <c r="D1225" s="65" t="s">
        <v>52</v>
      </c>
      <c r="E1225" s="108" t="s">
        <v>131</v>
      </c>
      <c r="F1225" s="60">
        <v>103.793178035685</v>
      </c>
      <c r="G1225" s="46">
        <v>45.411750977784699</v>
      </c>
      <c r="H1225" s="47">
        <v>4713.4299541494001</v>
      </c>
    </row>
    <row r="1226" spans="3:8">
      <c r="C1226" s="39" t="s">
        <v>49</v>
      </c>
      <c r="D1226" s="65" t="s">
        <v>133</v>
      </c>
      <c r="E1226" s="39" t="s">
        <v>131</v>
      </c>
      <c r="F1226" s="60">
        <v>42.0926563359507</v>
      </c>
      <c r="G1226" s="46">
        <v>52.035429693461801</v>
      </c>
      <c r="H1226" s="47">
        <v>2190.3094593804099</v>
      </c>
    </row>
    <row r="1227" spans="3:8">
      <c r="C1227" s="39"/>
      <c r="D1227" s="65"/>
      <c r="E1227" s="39"/>
      <c r="F1227" s="60"/>
      <c r="G1227" s="46">
        <v>0</v>
      </c>
      <c r="H1227" s="47">
        <v>0</v>
      </c>
    </row>
    <row r="1228" spans="3:8">
      <c r="C1228" s="39"/>
      <c r="D1228" s="65"/>
      <c r="E1228" s="39"/>
      <c r="F1228" s="75"/>
      <c r="G1228" s="46">
        <v>0</v>
      </c>
      <c r="H1228" s="47">
        <v>0</v>
      </c>
    </row>
    <row r="1229" spans="3:8">
      <c r="C1229" s="39"/>
      <c r="D1229" s="114"/>
      <c r="E1229" s="39"/>
      <c r="F1229" s="75"/>
      <c r="G1229" s="46">
        <v>0</v>
      </c>
      <c r="H1229" s="47">
        <v>0</v>
      </c>
    </row>
    <row r="1230" spans="3:8">
      <c r="C1230" s="51" t="s">
        <v>37</v>
      </c>
      <c r="D1230" s="51"/>
      <c r="E1230" s="51"/>
      <c r="F1230" s="52"/>
      <c r="G1230" s="51"/>
      <c r="H1230" s="53">
        <v>27697.9484300841</v>
      </c>
    </row>
    <row r="1231" spans="3:8">
      <c r="C1231" s="54" t="s">
        <v>38</v>
      </c>
      <c r="D1231" s="55" t="s">
        <v>39</v>
      </c>
      <c r="E1231" s="56"/>
      <c r="F1231" s="57"/>
      <c r="G1231" s="58"/>
      <c r="H1231" s="58"/>
    </row>
    <row r="1232" spans="3:8">
      <c r="C1232" s="39" t="s">
        <v>53</v>
      </c>
      <c r="D1232" s="76" t="s">
        <v>161</v>
      </c>
      <c r="E1232" s="39" t="s">
        <v>51</v>
      </c>
      <c r="F1232" s="60">
        <v>3.4926262513702899</v>
      </c>
      <c r="G1232" s="62">
        <v>264.062314369408</v>
      </c>
      <c r="H1232" s="61">
        <v>922.27097116418895</v>
      </c>
    </row>
    <row r="1233" spans="3:8">
      <c r="C1233" s="39" t="s">
        <v>53</v>
      </c>
      <c r="D1233" s="76" t="s">
        <v>136</v>
      </c>
      <c r="E1233" s="39" t="s">
        <v>28</v>
      </c>
      <c r="F1233" s="105">
        <v>0.48749999999999999</v>
      </c>
      <c r="G1233" s="62">
        <v>1384.8974215042099</v>
      </c>
      <c r="H1233" s="61">
        <v>675.13749298330094</v>
      </c>
    </row>
    <row r="1234" spans="3:8">
      <c r="C1234" s="39" t="s">
        <v>53</v>
      </c>
      <c r="D1234" s="76" t="s">
        <v>163</v>
      </c>
      <c r="E1234" s="39" t="s">
        <v>128</v>
      </c>
      <c r="F1234" s="40">
        <v>1.5551692359249301</v>
      </c>
      <c r="G1234" s="62">
        <v>304.92424242424198</v>
      </c>
      <c r="H1234" s="61">
        <v>474.20880110589798</v>
      </c>
    </row>
    <row r="1235" spans="3:8">
      <c r="C1235" s="39"/>
      <c r="D1235" s="76"/>
      <c r="E1235" s="39"/>
      <c r="F1235" s="40"/>
      <c r="G1235" s="62">
        <v>0</v>
      </c>
      <c r="H1235" s="61">
        <v>0</v>
      </c>
    </row>
    <row r="1236" spans="3:8">
      <c r="C1236" s="39"/>
      <c r="D1236" s="76"/>
      <c r="E1236" s="39"/>
      <c r="F1236" s="40"/>
      <c r="G1236" s="47">
        <v>0</v>
      </c>
      <c r="H1236" s="61">
        <v>0</v>
      </c>
    </row>
    <row r="1237" spans="3:8">
      <c r="C1237" s="39"/>
      <c r="D1237" s="76"/>
      <c r="E1237" s="39"/>
      <c r="F1237" s="40"/>
      <c r="G1237" s="62">
        <v>0</v>
      </c>
      <c r="H1237" s="61">
        <v>0</v>
      </c>
    </row>
    <row r="1238" spans="3:8">
      <c r="C1238" s="39"/>
      <c r="D1238" s="44"/>
      <c r="E1238" s="39"/>
      <c r="F1238" s="49"/>
      <c r="G1238" s="47">
        <v>0</v>
      </c>
      <c r="H1238" s="61">
        <v>0</v>
      </c>
    </row>
    <row r="1239" spans="3:8">
      <c r="C1239" s="51" t="s">
        <v>40</v>
      </c>
      <c r="D1239" s="51"/>
      <c r="E1239" s="51"/>
      <c r="F1239" s="52"/>
      <c r="G1239" s="51"/>
      <c r="H1239" s="53">
        <v>2071.6172652533901</v>
      </c>
    </row>
    <row r="1240" spans="3:8">
      <c r="C1240" s="54" t="s">
        <v>41</v>
      </c>
      <c r="D1240" s="55" t="s">
        <v>42</v>
      </c>
      <c r="E1240" s="56"/>
      <c r="F1240" s="63"/>
      <c r="G1240" s="64"/>
      <c r="H1240" s="64">
        <v>0</v>
      </c>
    </row>
    <row r="1241" spans="3:8">
      <c r="C1241" s="45" t="s">
        <v>77</v>
      </c>
      <c r="D1241" s="65" t="s">
        <v>167</v>
      </c>
      <c r="E1241" s="108" t="s">
        <v>55</v>
      </c>
      <c r="F1241" s="60">
        <v>0.65</v>
      </c>
      <c r="G1241" s="46">
        <v>50</v>
      </c>
      <c r="H1241" s="47">
        <v>32.5</v>
      </c>
    </row>
    <row r="1242" spans="3:8">
      <c r="C1242" s="45" t="s">
        <v>77</v>
      </c>
      <c r="D1242" s="65" t="s">
        <v>172</v>
      </c>
      <c r="E1242" s="45" t="s">
        <v>28</v>
      </c>
      <c r="F1242" s="40">
        <v>1</v>
      </c>
      <c r="G1242" s="50">
        <v>153.37506452415499</v>
      </c>
      <c r="H1242" s="47">
        <v>153.37506452415499</v>
      </c>
    </row>
    <row r="1243" spans="3:8">
      <c r="C1243" s="45" t="s">
        <v>77</v>
      </c>
      <c r="D1243" s="65" t="s">
        <v>173</v>
      </c>
      <c r="E1243" s="45" t="s">
        <v>28</v>
      </c>
      <c r="F1243" s="40">
        <v>0.5</v>
      </c>
      <c r="G1243" s="50">
        <v>219.92292225201101</v>
      </c>
      <c r="H1243" s="61">
        <v>109.96146112600501</v>
      </c>
    </row>
    <row r="1244" spans="3:8">
      <c r="C1244" s="45"/>
      <c r="D1244" s="65"/>
      <c r="E1244" s="45"/>
      <c r="F1244" s="40"/>
      <c r="G1244" s="50">
        <v>0</v>
      </c>
      <c r="H1244" s="61">
        <v>0</v>
      </c>
    </row>
    <row r="1245" spans="3:8">
      <c r="C1245" s="45"/>
      <c r="D1245" s="65"/>
      <c r="E1245" s="45"/>
      <c r="F1245" s="40"/>
      <c r="G1245" s="50">
        <v>0</v>
      </c>
      <c r="H1245" s="61">
        <v>0</v>
      </c>
    </row>
    <row r="1246" spans="3:8">
      <c r="C1246" s="45"/>
      <c r="D1246" s="65"/>
      <c r="E1246" s="45"/>
      <c r="F1246" s="40"/>
      <c r="G1246" s="50">
        <v>0</v>
      </c>
      <c r="H1246" s="61">
        <v>0</v>
      </c>
    </row>
    <row r="1247" spans="3:8">
      <c r="C1247" s="45"/>
      <c r="D1247" s="65"/>
      <c r="E1247" s="45"/>
      <c r="F1247" s="40"/>
      <c r="G1247" s="50">
        <v>0</v>
      </c>
      <c r="H1247" s="61">
        <v>0</v>
      </c>
    </row>
    <row r="1248" spans="3:8">
      <c r="C1248" s="45"/>
      <c r="D1248" s="65"/>
      <c r="E1248" s="45"/>
      <c r="F1248" s="40"/>
      <c r="G1248" s="50">
        <v>0</v>
      </c>
      <c r="H1248" s="61">
        <v>0</v>
      </c>
    </row>
    <row r="1249" spans="3:8">
      <c r="C1249" s="51" t="s">
        <v>43</v>
      </c>
      <c r="D1249" s="51"/>
      <c r="E1249" s="51"/>
      <c r="F1249" s="52"/>
      <c r="G1249" s="51"/>
      <c r="H1249" s="53">
        <v>295.83652565016001</v>
      </c>
    </row>
    <row r="1250" spans="3:8" ht="15.75">
      <c r="C1250" s="66" t="s">
        <v>44</v>
      </c>
      <c r="D1250" s="67"/>
      <c r="E1250" s="67"/>
      <c r="F1250" s="68"/>
      <c r="G1250" s="69"/>
      <c r="H1250" s="53">
        <v>30065.4022209877</v>
      </c>
    </row>
    <row r="1251" spans="3:8" ht="15.75">
      <c r="C1251" s="66" t="s">
        <v>45</v>
      </c>
      <c r="D1251" s="67"/>
      <c r="E1251" s="67"/>
      <c r="F1251" s="68"/>
      <c r="G1251" s="69"/>
      <c r="H1251" s="70">
        <v>7406.6548378615198</v>
      </c>
    </row>
    <row r="1252" spans="3:8" ht="15.75">
      <c r="C1252" s="66" t="s">
        <v>46</v>
      </c>
      <c r="D1252" s="67"/>
      <c r="E1252" s="67"/>
      <c r="F1252" s="68"/>
      <c r="G1252" s="69"/>
      <c r="H1252" s="53">
        <v>37472.06</v>
      </c>
    </row>
    <row r="1253" spans="3:8" ht="15.75">
      <c r="C1253" s="110"/>
      <c r="D1253" s="110"/>
      <c r="E1253" s="110"/>
      <c r="F1253" s="111"/>
      <c r="G1253" s="110"/>
      <c r="H1253" s="112"/>
    </row>
    <row r="1254" spans="3:8" ht="30">
      <c r="C1254" s="22" t="s">
        <v>23</v>
      </c>
      <c r="D1254" s="23" t="s">
        <v>235</v>
      </c>
      <c r="E1254" s="23"/>
      <c r="F1254" s="24"/>
      <c r="G1254" s="25"/>
      <c r="H1254" s="26"/>
    </row>
    <row r="1255" spans="3:8">
      <c r="C1255" s="27" t="s">
        <v>25</v>
      </c>
      <c r="D1255" s="28" t="s">
        <v>236</v>
      </c>
      <c r="E1255" s="29"/>
      <c r="F1255" s="30" t="s">
        <v>27</v>
      </c>
      <c r="G1255" s="31" t="s">
        <v>128</v>
      </c>
      <c r="H1255" s="32">
        <v>37075.699999999997</v>
      </c>
    </row>
    <row r="1256" spans="3:8">
      <c r="C1256" s="33" t="s">
        <v>29</v>
      </c>
      <c r="D1256" s="33" t="s">
        <v>30</v>
      </c>
      <c r="E1256" s="33" t="s">
        <v>31</v>
      </c>
      <c r="F1256" s="34" t="s">
        <v>32</v>
      </c>
      <c r="G1256" s="35" t="s">
        <v>33</v>
      </c>
      <c r="H1256" s="35" t="s">
        <v>34</v>
      </c>
    </row>
    <row r="1257" spans="3:8">
      <c r="C1257" s="33"/>
      <c r="D1257" s="33"/>
      <c r="E1257" s="33"/>
      <c r="F1257" s="34"/>
      <c r="G1257" s="36"/>
      <c r="H1257" s="36"/>
    </row>
    <row r="1258" spans="3:8">
      <c r="C1258" s="37" t="s">
        <v>35</v>
      </c>
      <c r="D1258" s="38" t="s">
        <v>36</v>
      </c>
      <c r="E1258" s="39"/>
      <c r="F1258" s="40"/>
      <c r="G1258" s="41"/>
      <c r="H1258" s="42"/>
    </row>
    <row r="1259" spans="3:8">
      <c r="C1259" s="39" t="s">
        <v>49</v>
      </c>
      <c r="D1259" s="71" t="s">
        <v>158</v>
      </c>
      <c r="E1259" s="39" t="s">
        <v>131</v>
      </c>
      <c r="F1259" s="60">
        <v>103.445878204884</v>
      </c>
      <c r="G1259" s="46">
        <v>90.031958516899607</v>
      </c>
      <c r="H1259" s="47">
        <v>9313.4350152863408</v>
      </c>
    </row>
    <row r="1260" spans="3:8">
      <c r="C1260" s="39" t="s">
        <v>49</v>
      </c>
      <c r="D1260" s="65" t="s">
        <v>50</v>
      </c>
      <c r="E1260" s="39" t="s">
        <v>131</v>
      </c>
      <c r="F1260" s="60">
        <v>97.469791864076896</v>
      </c>
      <c r="G1260" s="46">
        <v>79.456006436582399</v>
      </c>
      <c r="H1260" s="47">
        <v>7744.5604097244404</v>
      </c>
    </row>
    <row r="1261" spans="3:8">
      <c r="C1261" s="39" t="s">
        <v>49</v>
      </c>
      <c r="D1261" s="65" t="s">
        <v>159</v>
      </c>
      <c r="E1261" s="108" t="s">
        <v>131</v>
      </c>
      <c r="F1261" s="113">
        <v>38.387235495034403</v>
      </c>
      <c r="G1261" s="46">
        <v>89.242314887296502</v>
      </c>
      <c r="H1261" s="47">
        <v>3425.7657577006698</v>
      </c>
    </row>
    <row r="1262" spans="3:8">
      <c r="C1262" s="39" t="s">
        <v>49</v>
      </c>
      <c r="D1262" s="65" t="s">
        <v>52</v>
      </c>
      <c r="E1262" s="108" t="s">
        <v>131</v>
      </c>
      <c r="F1262" s="60">
        <v>103.793178035685</v>
      </c>
      <c r="G1262" s="46">
        <v>45.411750977784699</v>
      </c>
      <c r="H1262" s="47">
        <v>4713.4299541494001</v>
      </c>
    </row>
    <row r="1263" spans="3:8">
      <c r="C1263" s="39" t="s">
        <v>49</v>
      </c>
      <c r="D1263" s="65" t="s">
        <v>133</v>
      </c>
      <c r="E1263" s="39" t="s">
        <v>131</v>
      </c>
      <c r="F1263" s="60">
        <v>42.0926563359507</v>
      </c>
      <c r="G1263" s="46">
        <v>52.035429693461801</v>
      </c>
      <c r="H1263" s="47">
        <v>2190.3094593804099</v>
      </c>
    </row>
    <row r="1264" spans="3:8">
      <c r="C1264" s="39"/>
      <c r="D1264" s="65"/>
      <c r="E1264" s="39"/>
      <c r="F1264" s="60"/>
      <c r="G1264" s="46">
        <v>0</v>
      </c>
      <c r="H1264" s="47">
        <v>0</v>
      </c>
    </row>
    <row r="1265" spans="3:8">
      <c r="C1265" s="43"/>
      <c r="D1265" s="65"/>
      <c r="E1265" s="39"/>
      <c r="F1265" s="75"/>
      <c r="G1265" s="46">
        <v>0</v>
      </c>
      <c r="H1265" s="47">
        <v>0</v>
      </c>
    </row>
    <row r="1266" spans="3:8">
      <c r="C1266" s="51" t="s">
        <v>37</v>
      </c>
      <c r="D1266" s="51"/>
      <c r="E1266" s="51"/>
      <c r="F1266" s="52"/>
      <c r="G1266" s="51"/>
      <c r="H1266" s="53">
        <v>27387.500596241302</v>
      </c>
    </row>
    <row r="1267" spans="3:8">
      <c r="C1267" s="54" t="s">
        <v>38</v>
      </c>
      <c r="D1267" s="55" t="s">
        <v>39</v>
      </c>
      <c r="E1267" s="56"/>
      <c r="F1267" s="57"/>
      <c r="G1267" s="58"/>
      <c r="H1267" s="58"/>
    </row>
    <row r="1268" spans="3:8">
      <c r="C1268" s="39" t="s">
        <v>53</v>
      </c>
      <c r="D1268" s="76" t="s">
        <v>161</v>
      </c>
      <c r="E1268" s="39" t="s">
        <v>51</v>
      </c>
      <c r="F1268" s="60">
        <v>3.4926262513702899</v>
      </c>
      <c r="G1268" s="62">
        <v>264.062314369408</v>
      </c>
      <c r="H1268" s="61">
        <v>922.27097116418895</v>
      </c>
    </row>
    <row r="1269" spans="3:8">
      <c r="C1269" s="39" t="s">
        <v>53</v>
      </c>
      <c r="D1269" s="76" t="s">
        <v>136</v>
      </c>
      <c r="E1269" s="39" t="s">
        <v>28</v>
      </c>
      <c r="F1269" s="105">
        <v>0.48749999999999999</v>
      </c>
      <c r="G1269" s="62">
        <v>1369.3750298120599</v>
      </c>
      <c r="H1269" s="61">
        <v>667.57032703338098</v>
      </c>
    </row>
    <row r="1270" spans="3:8">
      <c r="C1270" s="39" t="s">
        <v>53</v>
      </c>
      <c r="D1270" s="76" t="s">
        <v>163</v>
      </c>
      <c r="E1270" s="39" t="s">
        <v>128</v>
      </c>
      <c r="F1270" s="40">
        <v>1.5551692359249301</v>
      </c>
      <c r="G1270" s="62">
        <v>304.92424242424198</v>
      </c>
      <c r="H1270" s="61">
        <v>474.20880110589798</v>
      </c>
    </row>
    <row r="1271" spans="3:8">
      <c r="C1271" s="39"/>
      <c r="D1271" s="76"/>
      <c r="E1271" s="39"/>
      <c r="F1271" s="40"/>
      <c r="G1271" s="62"/>
      <c r="H1271" s="61">
        <v>0</v>
      </c>
    </row>
    <row r="1272" spans="3:8">
      <c r="C1272" s="39"/>
      <c r="D1272" s="76"/>
      <c r="E1272" s="39"/>
      <c r="F1272" s="40"/>
      <c r="G1272" s="47">
        <v>0</v>
      </c>
      <c r="H1272" s="61">
        <v>0</v>
      </c>
    </row>
    <row r="1273" spans="3:8">
      <c r="C1273" s="39"/>
      <c r="D1273" s="76"/>
      <c r="E1273" s="39"/>
      <c r="F1273" s="40"/>
      <c r="G1273" s="62">
        <v>0</v>
      </c>
      <c r="H1273" s="61">
        <v>0</v>
      </c>
    </row>
    <row r="1274" spans="3:8">
      <c r="C1274" s="39"/>
      <c r="D1274" s="44"/>
      <c r="E1274" s="39"/>
      <c r="F1274" s="49"/>
      <c r="G1274" s="47">
        <v>0</v>
      </c>
      <c r="H1274" s="61">
        <v>0</v>
      </c>
    </row>
    <row r="1275" spans="3:8">
      <c r="C1275" s="51" t="s">
        <v>40</v>
      </c>
      <c r="D1275" s="51"/>
      <c r="E1275" s="51"/>
      <c r="F1275" s="52"/>
      <c r="G1275" s="51"/>
      <c r="H1275" s="53">
        <v>2064.0500993034698</v>
      </c>
    </row>
    <row r="1276" spans="3:8">
      <c r="C1276" s="54" t="s">
        <v>41</v>
      </c>
      <c r="D1276" s="55" t="s">
        <v>42</v>
      </c>
      <c r="E1276" s="56"/>
      <c r="F1276" s="63"/>
      <c r="G1276" s="64"/>
      <c r="H1276" s="64">
        <v>0</v>
      </c>
    </row>
    <row r="1277" spans="3:8">
      <c r="C1277" s="45" t="s">
        <v>77</v>
      </c>
      <c r="D1277" s="65" t="s">
        <v>167</v>
      </c>
      <c r="E1277" s="108" t="s">
        <v>55</v>
      </c>
      <c r="F1277" s="60">
        <v>0.65</v>
      </c>
      <c r="G1277" s="46">
        <v>50</v>
      </c>
      <c r="H1277" s="50">
        <v>32.5</v>
      </c>
    </row>
    <row r="1278" spans="3:8">
      <c r="C1278" s="45" t="s">
        <v>77</v>
      </c>
      <c r="D1278" s="65" t="s">
        <v>172</v>
      </c>
      <c r="E1278" s="45" t="s">
        <v>28</v>
      </c>
      <c r="F1278" s="40">
        <v>1</v>
      </c>
      <c r="G1278" s="50">
        <v>153.37506452415499</v>
      </c>
      <c r="H1278" s="50">
        <v>153.37506452415499</v>
      </c>
    </row>
    <row r="1279" spans="3:8">
      <c r="C1279" s="45" t="s">
        <v>77</v>
      </c>
      <c r="D1279" s="65" t="s">
        <v>173</v>
      </c>
      <c r="E1279" s="45" t="s">
        <v>28</v>
      </c>
      <c r="F1279" s="40">
        <v>0.5</v>
      </c>
      <c r="G1279" s="50">
        <v>219.92292225201101</v>
      </c>
      <c r="H1279" s="61">
        <v>109.96146112600501</v>
      </c>
    </row>
    <row r="1280" spans="3:8">
      <c r="C1280" s="45"/>
      <c r="D1280" s="65"/>
      <c r="E1280" s="45"/>
      <c r="F1280" s="40"/>
      <c r="G1280" s="50"/>
      <c r="H1280" s="61">
        <v>0</v>
      </c>
    </row>
    <row r="1281" spans="3:8">
      <c r="C1281" s="45"/>
      <c r="D1281" s="65"/>
      <c r="E1281" s="45"/>
      <c r="F1281" s="40"/>
      <c r="G1281" s="50"/>
      <c r="H1281" s="61">
        <v>0</v>
      </c>
    </row>
    <row r="1282" spans="3:8">
      <c r="C1282" s="45"/>
      <c r="D1282" s="65"/>
      <c r="E1282" s="45"/>
      <c r="F1282" s="40"/>
      <c r="G1282" s="50"/>
      <c r="H1282" s="61">
        <v>0</v>
      </c>
    </row>
    <row r="1283" spans="3:8">
      <c r="C1283" s="45"/>
      <c r="D1283" s="65"/>
      <c r="E1283" s="45"/>
      <c r="F1283" s="40"/>
      <c r="G1283" s="50">
        <v>0</v>
      </c>
      <c r="H1283" s="61">
        <v>0</v>
      </c>
    </row>
    <row r="1284" spans="3:8">
      <c r="C1284" s="45"/>
      <c r="D1284" s="65"/>
      <c r="E1284" s="45"/>
      <c r="F1284" s="40"/>
      <c r="G1284" s="50">
        <v>0</v>
      </c>
      <c r="H1284" s="61">
        <v>0</v>
      </c>
    </row>
    <row r="1285" spans="3:8">
      <c r="C1285" s="51" t="s">
        <v>43</v>
      </c>
      <c r="D1285" s="51"/>
      <c r="E1285" s="51"/>
      <c r="F1285" s="52"/>
      <c r="G1285" s="51"/>
      <c r="H1285" s="53">
        <v>295.83652565016001</v>
      </c>
    </row>
    <row r="1286" spans="3:8" ht="15.75">
      <c r="C1286" s="66" t="s">
        <v>44</v>
      </c>
      <c r="D1286" s="67"/>
      <c r="E1286" s="67"/>
      <c r="F1286" s="68"/>
      <c r="G1286" s="69"/>
      <c r="H1286" s="53">
        <v>29747.387221194898</v>
      </c>
    </row>
    <row r="1287" spans="3:8" ht="15.75">
      <c r="C1287" s="66" t="s">
        <v>45</v>
      </c>
      <c r="D1287" s="67"/>
      <c r="E1287" s="67"/>
      <c r="F1287" s="68"/>
      <c r="G1287" s="69"/>
      <c r="H1287" s="70">
        <v>7328.3113878249997</v>
      </c>
    </row>
    <row r="1288" spans="3:8" ht="15.75">
      <c r="C1288" s="66" t="s">
        <v>46</v>
      </c>
      <c r="D1288" s="67"/>
      <c r="E1288" s="67"/>
      <c r="F1288" s="68"/>
      <c r="G1288" s="69"/>
      <c r="H1288" s="53">
        <v>37075.699999999997</v>
      </c>
    </row>
    <row r="1289" spans="3:8" ht="15.75">
      <c r="C1289" s="110"/>
      <c r="D1289" s="110"/>
      <c r="E1289" s="110"/>
      <c r="F1289" s="111"/>
      <c r="G1289" s="110"/>
      <c r="H1289" s="112"/>
    </row>
    <row r="1290" spans="3:8" ht="30">
      <c r="C1290" s="22" t="s">
        <v>23</v>
      </c>
      <c r="D1290" s="23" t="s">
        <v>237</v>
      </c>
      <c r="E1290" s="23"/>
      <c r="F1290" s="24"/>
      <c r="G1290" s="25"/>
      <c r="H1290" s="26"/>
    </row>
    <row r="1291" spans="3:8">
      <c r="C1291" s="27" t="s">
        <v>25</v>
      </c>
      <c r="D1291" s="28" t="s">
        <v>238</v>
      </c>
      <c r="E1291" s="29"/>
      <c r="F1291" s="30" t="s">
        <v>27</v>
      </c>
      <c r="G1291" s="31" t="s">
        <v>128</v>
      </c>
      <c r="H1291" s="32">
        <v>19203.45</v>
      </c>
    </row>
    <row r="1292" spans="3:8">
      <c r="C1292" s="33" t="s">
        <v>29</v>
      </c>
      <c r="D1292" s="33" t="s">
        <v>30</v>
      </c>
      <c r="E1292" s="33" t="s">
        <v>31</v>
      </c>
      <c r="F1292" s="34" t="s">
        <v>32</v>
      </c>
      <c r="G1292" s="35" t="s">
        <v>33</v>
      </c>
      <c r="H1292" s="35" t="s">
        <v>34</v>
      </c>
    </row>
    <row r="1293" spans="3:8">
      <c r="C1293" s="33"/>
      <c r="D1293" s="33"/>
      <c r="E1293" s="33"/>
      <c r="F1293" s="34"/>
      <c r="G1293" s="36"/>
      <c r="H1293" s="36"/>
    </row>
    <row r="1294" spans="3:8">
      <c r="C1294" s="37" t="s">
        <v>35</v>
      </c>
      <c r="D1294" s="38" t="s">
        <v>36</v>
      </c>
      <c r="E1294" s="39"/>
      <c r="F1294" s="40"/>
      <c r="G1294" s="41"/>
      <c r="H1294" s="42"/>
    </row>
    <row r="1295" spans="3:8">
      <c r="C1295" s="39" t="s">
        <v>49</v>
      </c>
      <c r="D1295" s="71" t="s">
        <v>158</v>
      </c>
      <c r="E1295" s="39" t="s">
        <v>131</v>
      </c>
      <c r="F1295" s="60">
        <v>45.9759458688373</v>
      </c>
      <c r="G1295" s="46">
        <v>90.031958516899607</v>
      </c>
      <c r="H1295" s="47">
        <v>4139.3044512383804</v>
      </c>
    </row>
    <row r="1296" spans="3:8">
      <c r="C1296" s="39" t="s">
        <v>49</v>
      </c>
      <c r="D1296" s="65" t="s">
        <v>50</v>
      </c>
      <c r="E1296" s="39" t="s">
        <v>131</v>
      </c>
      <c r="F1296" s="60">
        <v>43.319907495145301</v>
      </c>
      <c r="G1296" s="46">
        <v>79.456006436582399</v>
      </c>
      <c r="H1296" s="47">
        <v>3442.0268487664198</v>
      </c>
    </row>
    <row r="1297" spans="3:8">
      <c r="C1297" s="39" t="s">
        <v>49</v>
      </c>
      <c r="D1297" s="65" t="s">
        <v>159</v>
      </c>
      <c r="E1297" s="108" t="s">
        <v>131</v>
      </c>
      <c r="F1297" s="113">
        <v>17.060993553348599</v>
      </c>
      <c r="G1297" s="46">
        <v>89.242314887296502</v>
      </c>
      <c r="H1297" s="47">
        <v>1522.56255897807</v>
      </c>
    </row>
    <row r="1298" spans="3:8">
      <c r="C1298" s="39" t="s">
        <v>49</v>
      </c>
      <c r="D1298" s="65" t="s">
        <v>52</v>
      </c>
      <c r="E1298" s="108" t="s">
        <v>131</v>
      </c>
      <c r="F1298" s="60">
        <v>46.130301349193601</v>
      </c>
      <c r="G1298" s="46">
        <v>45.411750977784699</v>
      </c>
      <c r="H1298" s="47">
        <v>2094.85775739974</v>
      </c>
    </row>
    <row r="1299" spans="3:8">
      <c r="C1299" s="39" t="s">
        <v>49</v>
      </c>
      <c r="D1299" s="65" t="s">
        <v>133</v>
      </c>
      <c r="E1299" s="39" t="s">
        <v>131</v>
      </c>
      <c r="F1299" s="60">
        <v>42.0926563359507</v>
      </c>
      <c r="G1299" s="46">
        <v>52.035429693461801</v>
      </c>
      <c r="H1299" s="47">
        <v>2190.3094593804099</v>
      </c>
    </row>
    <row r="1300" spans="3:8">
      <c r="C1300" s="39"/>
      <c r="D1300" s="65"/>
      <c r="E1300" s="39"/>
      <c r="F1300" s="60"/>
      <c r="G1300" s="46">
        <v>0</v>
      </c>
      <c r="H1300" s="47">
        <v>0</v>
      </c>
    </row>
    <row r="1301" spans="3:8">
      <c r="C1301" s="43"/>
      <c r="D1301" s="65"/>
      <c r="E1301" s="39"/>
      <c r="F1301" s="75"/>
      <c r="G1301" s="46">
        <v>0</v>
      </c>
      <c r="H1301" s="47">
        <v>0</v>
      </c>
    </row>
    <row r="1302" spans="3:8">
      <c r="C1302" s="51" t="s">
        <v>37</v>
      </c>
      <c r="D1302" s="51"/>
      <c r="E1302" s="51"/>
      <c r="F1302" s="52"/>
      <c r="G1302" s="51"/>
      <c r="H1302" s="53">
        <v>13389.061075763</v>
      </c>
    </row>
    <row r="1303" spans="3:8">
      <c r="C1303" s="54" t="s">
        <v>38</v>
      </c>
      <c r="D1303" s="55" t="s">
        <v>39</v>
      </c>
      <c r="E1303" s="56"/>
      <c r="F1303" s="57"/>
      <c r="G1303" s="58"/>
      <c r="H1303" s="58"/>
    </row>
    <row r="1304" spans="3:8">
      <c r="C1304" s="39" t="s">
        <v>53</v>
      </c>
      <c r="D1304" s="76" t="s">
        <v>161</v>
      </c>
      <c r="E1304" s="39" t="s">
        <v>51</v>
      </c>
      <c r="F1304" s="60">
        <v>3.4926262513702899</v>
      </c>
      <c r="G1304" s="62">
        <v>264.062314369408</v>
      </c>
      <c r="H1304" s="61">
        <v>922.27097116418895</v>
      </c>
    </row>
    <row r="1305" spans="3:8">
      <c r="C1305" s="39" t="s">
        <v>53</v>
      </c>
      <c r="D1305" s="76" t="s">
        <v>136</v>
      </c>
      <c r="E1305" s="39" t="s">
        <v>28</v>
      </c>
      <c r="F1305" s="105">
        <v>0.48749999999999999</v>
      </c>
      <c r="G1305" s="62">
        <v>669.45305378815101</v>
      </c>
      <c r="H1305" s="61">
        <v>326.358363721724</v>
      </c>
    </row>
    <row r="1306" spans="3:8">
      <c r="C1306" s="39" t="s">
        <v>53</v>
      </c>
      <c r="D1306" s="76" t="s">
        <v>163</v>
      </c>
      <c r="E1306" s="39" t="s">
        <v>128</v>
      </c>
      <c r="F1306" s="40">
        <v>1.5551692359249301</v>
      </c>
      <c r="G1306" s="62">
        <v>304.92424242424198</v>
      </c>
      <c r="H1306" s="61">
        <v>474.20880110589798</v>
      </c>
    </row>
    <row r="1307" spans="3:8">
      <c r="C1307" s="39"/>
      <c r="D1307" s="76"/>
      <c r="E1307" s="39"/>
      <c r="F1307" s="40"/>
      <c r="G1307" s="62"/>
      <c r="H1307" s="61">
        <v>0</v>
      </c>
    </row>
    <row r="1308" spans="3:8">
      <c r="C1308" s="39"/>
      <c r="D1308" s="76"/>
      <c r="E1308" s="39"/>
      <c r="F1308" s="40"/>
      <c r="G1308" s="47">
        <v>0</v>
      </c>
      <c r="H1308" s="61">
        <v>0</v>
      </c>
    </row>
    <row r="1309" spans="3:8">
      <c r="C1309" s="39"/>
      <c r="D1309" s="76"/>
      <c r="E1309" s="39"/>
      <c r="F1309" s="40"/>
      <c r="G1309" s="62">
        <v>0</v>
      </c>
      <c r="H1309" s="61">
        <v>0</v>
      </c>
    </row>
    <row r="1310" spans="3:8">
      <c r="C1310" s="39"/>
      <c r="D1310" s="44"/>
      <c r="E1310" s="39"/>
      <c r="F1310" s="49"/>
      <c r="G1310" s="47">
        <v>0</v>
      </c>
      <c r="H1310" s="61">
        <v>0</v>
      </c>
    </row>
    <row r="1311" spans="3:8">
      <c r="C1311" s="51" t="s">
        <v>40</v>
      </c>
      <c r="D1311" s="51"/>
      <c r="E1311" s="51"/>
      <c r="F1311" s="52"/>
      <c r="G1311" s="51"/>
      <c r="H1311" s="53">
        <v>1722.8381359918101</v>
      </c>
    </row>
    <row r="1312" spans="3:8">
      <c r="C1312" s="54" t="s">
        <v>41</v>
      </c>
      <c r="D1312" s="55" t="s">
        <v>42</v>
      </c>
      <c r="E1312" s="56"/>
      <c r="F1312" s="63"/>
      <c r="G1312" s="64"/>
      <c r="H1312" s="64">
        <v>0</v>
      </c>
    </row>
    <row r="1313" spans="3:8">
      <c r="C1313" s="45" t="s">
        <v>77</v>
      </c>
      <c r="D1313" s="65" t="s">
        <v>167</v>
      </c>
      <c r="E1313" s="108" t="s">
        <v>55</v>
      </c>
      <c r="F1313" s="60">
        <v>0.65</v>
      </c>
      <c r="G1313" s="46">
        <v>50</v>
      </c>
      <c r="H1313" s="50">
        <v>32.5</v>
      </c>
    </row>
    <row r="1314" spans="3:8">
      <c r="C1314" s="45" t="s">
        <v>77</v>
      </c>
      <c r="D1314" s="65" t="s">
        <v>172</v>
      </c>
      <c r="E1314" s="45" t="s">
        <v>28</v>
      </c>
      <c r="F1314" s="40">
        <v>1</v>
      </c>
      <c r="G1314" s="50">
        <v>153.37506452415499</v>
      </c>
      <c r="H1314" s="50">
        <v>153.37506452415499</v>
      </c>
    </row>
    <row r="1315" spans="3:8">
      <c r="C1315" s="45" t="s">
        <v>77</v>
      </c>
      <c r="D1315" s="65" t="s">
        <v>173</v>
      </c>
      <c r="E1315" s="45" t="s">
        <v>28</v>
      </c>
      <c r="F1315" s="40">
        <v>0.5</v>
      </c>
      <c r="G1315" s="50">
        <v>219.92292225201101</v>
      </c>
      <c r="H1315" s="61">
        <v>109.96146112600501</v>
      </c>
    </row>
    <row r="1316" spans="3:8">
      <c r="C1316" s="45"/>
      <c r="D1316" s="65"/>
      <c r="E1316" s="45"/>
      <c r="F1316" s="40"/>
      <c r="G1316" s="50">
        <v>0</v>
      </c>
      <c r="H1316" s="61">
        <v>0</v>
      </c>
    </row>
    <row r="1317" spans="3:8">
      <c r="C1317" s="45"/>
      <c r="D1317" s="65"/>
      <c r="E1317" s="45"/>
      <c r="F1317" s="40"/>
      <c r="G1317" s="50">
        <v>0</v>
      </c>
      <c r="H1317" s="61">
        <v>0</v>
      </c>
    </row>
    <row r="1318" spans="3:8">
      <c r="C1318" s="45"/>
      <c r="D1318" s="65"/>
      <c r="E1318" s="45"/>
      <c r="F1318" s="40"/>
      <c r="G1318" s="50">
        <v>0</v>
      </c>
      <c r="H1318" s="61">
        <v>0</v>
      </c>
    </row>
    <row r="1319" spans="3:8">
      <c r="C1319" s="45"/>
      <c r="D1319" s="65"/>
      <c r="E1319" s="45"/>
      <c r="F1319" s="40"/>
      <c r="G1319" s="50">
        <v>0</v>
      </c>
      <c r="H1319" s="61">
        <v>0</v>
      </c>
    </row>
    <row r="1320" spans="3:8">
      <c r="C1320" s="45"/>
      <c r="D1320" s="65"/>
      <c r="E1320" s="45"/>
      <c r="F1320" s="40"/>
      <c r="G1320" s="50">
        <v>0</v>
      </c>
      <c r="H1320" s="61">
        <v>0</v>
      </c>
    </row>
    <row r="1321" spans="3:8">
      <c r="C1321" s="51" t="s">
        <v>43</v>
      </c>
      <c r="D1321" s="51"/>
      <c r="E1321" s="51"/>
      <c r="F1321" s="52"/>
      <c r="G1321" s="51"/>
      <c r="H1321" s="53">
        <v>295.83652565016001</v>
      </c>
    </row>
    <row r="1322" spans="3:8" ht="15.75">
      <c r="C1322" s="66" t="s">
        <v>44</v>
      </c>
      <c r="D1322" s="67"/>
      <c r="E1322" s="67"/>
      <c r="F1322" s="68"/>
      <c r="G1322" s="69"/>
      <c r="H1322" s="53">
        <v>15407.735737405001</v>
      </c>
    </row>
    <row r="1323" spans="3:8" ht="15.75">
      <c r="C1323" s="66" t="s">
        <v>45</v>
      </c>
      <c r="D1323" s="67"/>
      <c r="E1323" s="67"/>
      <c r="F1323" s="68"/>
      <c r="G1323" s="69"/>
      <c r="H1323" s="70">
        <v>3795.7177356595998</v>
      </c>
    </row>
    <row r="1324" spans="3:8" ht="15.75">
      <c r="C1324" s="66" t="s">
        <v>46</v>
      </c>
      <c r="D1324" s="67"/>
      <c r="E1324" s="67"/>
      <c r="F1324" s="68"/>
      <c r="G1324" s="69"/>
      <c r="H1324" s="53">
        <v>19203.45</v>
      </c>
    </row>
    <row r="1325" spans="3:8" ht="15.75">
      <c r="C1325" s="110"/>
      <c r="D1325" s="110"/>
      <c r="E1325" s="110"/>
      <c r="F1325" s="111"/>
      <c r="G1325" s="110"/>
      <c r="H1325" s="112"/>
    </row>
    <row r="1326" spans="3:8" ht="30">
      <c r="C1326" s="22" t="s">
        <v>23</v>
      </c>
      <c r="D1326" s="23" t="s">
        <v>239</v>
      </c>
      <c r="E1326" s="23"/>
      <c r="F1326" s="24"/>
      <c r="G1326" s="25"/>
      <c r="H1326" s="26"/>
    </row>
    <row r="1327" spans="3:8">
      <c r="C1327" s="27" t="s">
        <v>25</v>
      </c>
      <c r="D1327" s="28" t="s">
        <v>240</v>
      </c>
      <c r="E1327" s="29"/>
      <c r="F1327" s="30" t="s">
        <v>27</v>
      </c>
      <c r="G1327" s="31" t="s">
        <v>128</v>
      </c>
      <c r="H1327" s="32">
        <v>37075.699999999997</v>
      </c>
    </row>
    <row r="1328" spans="3:8">
      <c r="C1328" s="33" t="s">
        <v>29</v>
      </c>
      <c r="D1328" s="33" t="s">
        <v>30</v>
      </c>
      <c r="E1328" s="33" t="s">
        <v>31</v>
      </c>
      <c r="F1328" s="34" t="s">
        <v>32</v>
      </c>
      <c r="G1328" s="35" t="s">
        <v>33</v>
      </c>
      <c r="H1328" s="35" t="s">
        <v>34</v>
      </c>
    </row>
    <row r="1329" spans="3:8">
      <c r="C1329" s="33"/>
      <c r="D1329" s="33"/>
      <c r="E1329" s="33"/>
      <c r="F1329" s="34"/>
      <c r="G1329" s="36"/>
      <c r="H1329" s="36"/>
    </row>
    <row r="1330" spans="3:8">
      <c r="C1330" s="37" t="s">
        <v>35</v>
      </c>
      <c r="D1330" s="38" t="s">
        <v>36</v>
      </c>
      <c r="E1330" s="39"/>
      <c r="F1330" s="40"/>
      <c r="G1330" s="41"/>
      <c r="H1330" s="42"/>
    </row>
    <row r="1331" spans="3:8">
      <c r="C1331" s="39" t="s">
        <v>49</v>
      </c>
      <c r="D1331" s="71" t="s">
        <v>158</v>
      </c>
      <c r="E1331" s="39" t="s">
        <v>131</v>
      </c>
      <c r="F1331" s="60">
        <v>103.445878204884</v>
      </c>
      <c r="G1331" s="46">
        <v>90.031958516899607</v>
      </c>
      <c r="H1331" s="47">
        <v>9313.4350152863408</v>
      </c>
    </row>
    <row r="1332" spans="3:8">
      <c r="C1332" s="39" t="s">
        <v>49</v>
      </c>
      <c r="D1332" s="65" t="s">
        <v>50</v>
      </c>
      <c r="E1332" s="39" t="s">
        <v>131</v>
      </c>
      <c r="F1332" s="60">
        <v>97.469791864076896</v>
      </c>
      <c r="G1332" s="46">
        <v>79.456006436582399</v>
      </c>
      <c r="H1332" s="47">
        <v>7744.5604097244404</v>
      </c>
    </row>
    <row r="1333" spans="3:8">
      <c r="C1333" s="39" t="s">
        <v>49</v>
      </c>
      <c r="D1333" s="65" t="s">
        <v>159</v>
      </c>
      <c r="E1333" s="108" t="s">
        <v>131</v>
      </c>
      <c r="F1333" s="113">
        <v>38.387235495034403</v>
      </c>
      <c r="G1333" s="46">
        <v>89.242314887296502</v>
      </c>
      <c r="H1333" s="47">
        <v>3425.7657577006698</v>
      </c>
    </row>
    <row r="1334" spans="3:8">
      <c r="C1334" s="39" t="s">
        <v>49</v>
      </c>
      <c r="D1334" s="65" t="s">
        <v>52</v>
      </c>
      <c r="E1334" s="108" t="s">
        <v>131</v>
      </c>
      <c r="F1334" s="60">
        <v>103.793178035685</v>
      </c>
      <c r="G1334" s="46">
        <v>45.411750977784699</v>
      </c>
      <c r="H1334" s="47">
        <v>4713.4299541494001</v>
      </c>
    </row>
    <row r="1335" spans="3:8">
      <c r="C1335" s="39" t="s">
        <v>49</v>
      </c>
      <c r="D1335" s="65" t="s">
        <v>133</v>
      </c>
      <c r="E1335" s="39" t="s">
        <v>131</v>
      </c>
      <c r="F1335" s="60">
        <v>42.0926563359507</v>
      </c>
      <c r="G1335" s="46">
        <v>52.035429693461801</v>
      </c>
      <c r="H1335" s="47">
        <v>2190.3094593804099</v>
      </c>
    </row>
    <row r="1336" spans="3:8">
      <c r="C1336" s="39"/>
      <c r="D1336" s="65"/>
      <c r="E1336" s="39"/>
      <c r="F1336" s="60"/>
      <c r="G1336" s="46">
        <v>0</v>
      </c>
      <c r="H1336" s="47">
        <v>0</v>
      </c>
    </row>
    <row r="1337" spans="3:8">
      <c r="C1337" s="43"/>
      <c r="D1337" s="65"/>
      <c r="E1337" s="39"/>
      <c r="F1337" s="75"/>
      <c r="G1337" s="46">
        <v>0</v>
      </c>
      <c r="H1337" s="47">
        <v>0</v>
      </c>
    </row>
    <row r="1338" spans="3:8">
      <c r="C1338" s="51" t="s">
        <v>37</v>
      </c>
      <c r="D1338" s="51"/>
      <c r="E1338" s="51"/>
      <c r="F1338" s="52"/>
      <c r="G1338" s="51"/>
      <c r="H1338" s="53">
        <v>27387.500596241302</v>
      </c>
    </row>
    <row r="1339" spans="3:8">
      <c r="C1339" s="54" t="s">
        <v>38</v>
      </c>
      <c r="D1339" s="55" t="s">
        <v>39</v>
      </c>
      <c r="E1339" s="56"/>
      <c r="F1339" s="57"/>
      <c r="G1339" s="58"/>
      <c r="H1339" s="58"/>
    </row>
    <row r="1340" spans="3:8">
      <c r="C1340" s="39" t="s">
        <v>53</v>
      </c>
      <c r="D1340" s="76" t="s">
        <v>161</v>
      </c>
      <c r="E1340" s="39" t="s">
        <v>51</v>
      </c>
      <c r="F1340" s="60">
        <v>3.4926262513702899</v>
      </c>
      <c r="G1340" s="62">
        <v>264.062314369408</v>
      </c>
      <c r="H1340" s="61">
        <v>922.27097116418895</v>
      </c>
    </row>
    <row r="1341" spans="3:8">
      <c r="C1341" s="39" t="s">
        <v>53</v>
      </c>
      <c r="D1341" s="76" t="s">
        <v>136</v>
      </c>
      <c r="E1341" s="39" t="s">
        <v>28</v>
      </c>
      <c r="F1341" s="105">
        <v>0.48749999999999999</v>
      </c>
      <c r="G1341" s="62">
        <v>1369.3750298120599</v>
      </c>
      <c r="H1341" s="61">
        <v>667.57032703338098</v>
      </c>
    </row>
    <row r="1342" spans="3:8">
      <c r="C1342" s="39" t="s">
        <v>53</v>
      </c>
      <c r="D1342" s="76" t="s">
        <v>163</v>
      </c>
      <c r="E1342" s="39" t="s">
        <v>128</v>
      </c>
      <c r="F1342" s="40">
        <v>1.5551692359249301</v>
      </c>
      <c r="G1342" s="62">
        <v>304.92424242424198</v>
      </c>
      <c r="H1342" s="61">
        <v>474.20880110589798</v>
      </c>
    </row>
    <row r="1343" spans="3:8">
      <c r="C1343" s="39"/>
      <c r="D1343" s="76"/>
      <c r="E1343" s="39"/>
      <c r="F1343" s="40"/>
      <c r="G1343" s="62"/>
      <c r="H1343" s="61">
        <v>0</v>
      </c>
    </row>
    <row r="1344" spans="3:8">
      <c r="C1344" s="39"/>
      <c r="D1344" s="76"/>
      <c r="E1344" s="39"/>
      <c r="F1344" s="40"/>
      <c r="G1344" s="47">
        <v>0</v>
      </c>
      <c r="H1344" s="61">
        <v>0</v>
      </c>
    </row>
    <row r="1345" spans="3:8">
      <c r="C1345" s="39"/>
      <c r="D1345" s="76"/>
      <c r="E1345" s="39"/>
      <c r="F1345" s="40"/>
      <c r="G1345" s="62">
        <v>0</v>
      </c>
      <c r="H1345" s="61">
        <v>0</v>
      </c>
    </row>
    <row r="1346" spans="3:8">
      <c r="C1346" s="39"/>
      <c r="D1346" s="44"/>
      <c r="E1346" s="39"/>
      <c r="F1346" s="49"/>
      <c r="G1346" s="47">
        <v>0</v>
      </c>
      <c r="H1346" s="61">
        <v>0</v>
      </c>
    </row>
    <row r="1347" spans="3:8">
      <c r="C1347" s="51" t="s">
        <v>40</v>
      </c>
      <c r="D1347" s="51"/>
      <c r="E1347" s="51"/>
      <c r="F1347" s="52"/>
      <c r="G1347" s="51"/>
      <c r="H1347" s="53">
        <v>2064.0500993034698</v>
      </c>
    </row>
    <row r="1348" spans="3:8">
      <c r="C1348" s="54" t="s">
        <v>41</v>
      </c>
      <c r="D1348" s="55" t="s">
        <v>42</v>
      </c>
      <c r="E1348" s="56"/>
      <c r="F1348" s="63"/>
      <c r="G1348" s="64"/>
      <c r="H1348" s="64">
        <v>0</v>
      </c>
    </row>
    <row r="1349" spans="3:8">
      <c r="C1349" s="45" t="s">
        <v>77</v>
      </c>
      <c r="D1349" s="65" t="s">
        <v>167</v>
      </c>
      <c r="E1349" s="108" t="s">
        <v>55</v>
      </c>
      <c r="F1349" s="60">
        <v>0.65</v>
      </c>
      <c r="G1349" s="46">
        <v>50</v>
      </c>
      <c r="H1349" s="50">
        <v>32.5</v>
      </c>
    </row>
    <row r="1350" spans="3:8">
      <c r="C1350" s="45" t="s">
        <v>77</v>
      </c>
      <c r="D1350" s="65" t="s">
        <v>172</v>
      </c>
      <c r="E1350" s="45" t="s">
        <v>28</v>
      </c>
      <c r="F1350" s="40">
        <v>1</v>
      </c>
      <c r="G1350" s="50">
        <v>153.37506452415499</v>
      </c>
      <c r="H1350" s="50">
        <v>153.37506452415499</v>
      </c>
    </row>
    <row r="1351" spans="3:8">
      <c r="C1351" s="45" t="s">
        <v>77</v>
      </c>
      <c r="D1351" s="65" t="s">
        <v>173</v>
      </c>
      <c r="E1351" s="45" t="s">
        <v>28</v>
      </c>
      <c r="F1351" s="40">
        <v>0.5</v>
      </c>
      <c r="G1351" s="50">
        <v>219.92292225201101</v>
      </c>
      <c r="H1351" s="61">
        <v>109.96146112600501</v>
      </c>
    </row>
    <row r="1352" spans="3:8">
      <c r="C1352" s="45"/>
      <c r="D1352" s="65"/>
      <c r="E1352" s="45"/>
      <c r="F1352" s="40"/>
      <c r="G1352" s="50">
        <v>0</v>
      </c>
      <c r="H1352" s="61">
        <v>0</v>
      </c>
    </row>
    <row r="1353" spans="3:8">
      <c r="C1353" s="45"/>
      <c r="D1353" s="65"/>
      <c r="E1353" s="45"/>
      <c r="F1353" s="40"/>
      <c r="G1353" s="50">
        <v>0</v>
      </c>
      <c r="H1353" s="61">
        <v>0</v>
      </c>
    </row>
    <row r="1354" spans="3:8">
      <c r="C1354" s="45"/>
      <c r="D1354" s="65"/>
      <c r="E1354" s="45"/>
      <c r="F1354" s="40"/>
      <c r="G1354" s="50">
        <v>0</v>
      </c>
      <c r="H1354" s="61">
        <v>0</v>
      </c>
    </row>
    <row r="1355" spans="3:8">
      <c r="C1355" s="45"/>
      <c r="D1355" s="65"/>
      <c r="E1355" s="45"/>
      <c r="F1355" s="40"/>
      <c r="G1355" s="50">
        <v>0</v>
      </c>
      <c r="H1355" s="61">
        <v>0</v>
      </c>
    </row>
    <row r="1356" spans="3:8">
      <c r="C1356" s="45"/>
      <c r="D1356" s="65"/>
      <c r="E1356" s="45"/>
      <c r="F1356" s="40"/>
      <c r="G1356" s="50">
        <v>0</v>
      </c>
      <c r="H1356" s="61">
        <v>0</v>
      </c>
    </row>
    <row r="1357" spans="3:8">
      <c r="C1357" s="51" t="s">
        <v>43</v>
      </c>
      <c r="D1357" s="51"/>
      <c r="E1357" s="51"/>
      <c r="F1357" s="52"/>
      <c r="G1357" s="51"/>
      <c r="H1357" s="53">
        <v>295.83652565016001</v>
      </c>
    </row>
    <row r="1358" spans="3:8" ht="15.75">
      <c r="C1358" s="66" t="s">
        <v>44</v>
      </c>
      <c r="D1358" s="67"/>
      <c r="E1358" s="67"/>
      <c r="F1358" s="68"/>
      <c r="G1358" s="69"/>
      <c r="H1358" s="53">
        <v>29747.387221194898</v>
      </c>
    </row>
    <row r="1359" spans="3:8" ht="15.75">
      <c r="C1359" s="66" t="s">
        <v>45</v>
      </c>
      <c r="D1359" s="67"/>
      <c r="E1359" s="67"/>
      <c r="F1359" s="68"/>
      <c r="G1359" s="69"/>
      <c r="H1359" s="70">
        <v>7328.3113878249997</v>
      </c>
    </row>
    <row r="1360" spans="3:8" ht="15.75">
      <c r="C1360" s="66" t="s">
        <v>46</v>
      </c>
      <c r="D1360" s="67"/>
      <c r="E1360" s="67"/>
      <c r="F1360" s="68"/>
      <c r="G1360" s="69"/>
      <c r="H1360" s="53">
        <v>37075.699999999997</v>
      </c>
    </row>
    <row r="1361" spans="3:8" ht="15.75">
      <c r="C1361" s="110"/>
      <c r="D1361" s="110"/>
      <c r="E1361" s="110"/>
      <c r="F1361" s="111"/>
      <c r="G1361" s="110"/>
      <c r="H1361" s="112"/>
    </row>
    <row r="1362" spans="3:8" ht="30">
      <c r="C1362" s="22" t="s">
        <v>23</v>
      </c>
      <c r="D1362" s="23" t="s">
        <v>241</v>
      </c>
      <c r="E1362" s="23"/>
      <c r="F1362" s="24"/>
      <c r="G1362" s="25"/>
      <c r="H1362" s="26"/>
    </row>
    <row r="1363" spans="3:8">
      <c r="C1363" s="27" t="s">
        <v>25</v>
      </c>
      <c r="D1363" s="28" t="s">
        <v>242</v>
      </c>
      <c r="E1363" s="29"/>
      <c r="F1363" s="30" t="s">
        <v>27</v>
      </c>
      <c r="G1363" s="31" t="s">
        <v>199</v>
      </c>
      <c r="H1363" s="32">
        <v>594.72</v>
      </c>
    </row>
    <row r="1364" spans="3:8">
      <c r="C1364" s="33" t="s">
        <v>29</v>
      </c>
      <c r="D1364" s="33" t="s">
        <v>30</v>
      </c>
      <c r="E1364" s="33" t="s">
        <v>31</v>
      </c>
      <c r="F1364" s="34" t="s">
        <v>32</v>
      </c>
      <c r="G1364" s="35" t="s">
        <v>33</v>
      </c>
      <c r="H1364" s="35" t="s">
        <v>34</v>
      </c>
    </row>
    <row r="1365" spans="3:8">
      <c r="C1365" s="33"/>
      <c r="D1365" s="33"/>
      <c r="E1365" s="33"/>
      <c r="F1365" s="34"/>
      <c r="G1365" s="36"/>
      <c r="H1365" s="36"/>
    </row>
    <row r="1366" spans="3:8">
      <c r="C1366" s="37" t="s">
        <v>35</v>
      </c>
      <c r="D1366" s="38" t="s">
        <v>36</v>
      </c>
      <c r="E1366" s="39"/>
      <c r="F1366" s="40"/>
      <c r="G1366" s="41"/>
      <c r="H1366" s="42"/>
    </row>
    <row r="1367" spans="3:8">
      <c r="C1367" s="39"/>
      <c r="D1367" s="71"/>
      <c r="E1367" s="39"/>
      <c r="F1367" s="118"/>
      <c r="G1367" s="50">
        <v>0</v>
      </c>
      <c r="H1367" s="47">
        <v>0</v>
      </c>
    </row>
    <row r="1368" spans="3:8">
      <c r="C1368" s="39"/>
      <c r="D1368" s="65"/>
      <c r="E1368" s="39"/>
      <c r="F1368" s="118"/>
      <c r="G1368" s="50">
        <v>0</v>
      </c>
      <c r="H1368" s="47">
        <v>0</v>
      </c>
    </row>
    <row r="1369" spans="3:8">
      <c r="C1369" s="39"/>
      <c r="D1369" s="44"/>
      <c r="E1369" s="39"/>
      <c r="F1369" s="82"/>
      <c r="G1369" s="50">
        <v>0</v>
      </c>
      <c r="H1369" s="47">
        <v>0</v>
      </c>
    </row>
    <row r="1370" spans="3:8">
      <c r="C1370" s="39"/>
      <c r="D1370" s="44"/>
      <c r="E1370" s="39"/>
      <c r="F1370" s="117"/>
      <c r="G1370" s="50">
        <v>0</v>
      </c>
      <c r="H1370" s="47">
        <v>0</v>
      </c>
    </row>
    <row r="1371" spans="3:8">
      <c r="C1371" s="39"/>
      <c r="D1371" s="65"/>
      <c r="E1371" s="39"/>
      <c r="F1371" s="60"/>
      <c r="G1371" s="46">
        <v>0</v>
      </c>
      <c r="H1371" s="47">
        <v>0</v>
      </c>
    </row>
    <row r="1372" spans="3:8">
      <c r="C1372" s="43"/>
      <c r="D1372" s="65"/>
      <c r="E1372" s="39"/>
      <c r="F1372" s="60"/>
      <c r="G1372" s="46">
        <v>0</v>
      </c>
      <c r="H1372" s="47">
        <v>0</v>
      </c>
    </row>
    <row r="1373" spans="3:8">
      <c r="C1373" s="43"/>
      <c r="D1373" s="65"/>
      <c r="E1373" s="39"/>
      <c r="F1373" s="75"/>
      <c r="G1373" s="46">
        <v>0</v>
      </c>
      <c r="H1373" s="47">
        <v>0</v>
      </c>
    </row>
    <row r="1374" spans="3:8">
      <c r="C1374" s="51" t="s">
        <v>37</v>
      </c>
      <c r="D1374" s="51"/>
      <c r="E1374" s="51"/>
      <c r="F1374" s="52"/>
      <c r="G1374" s="51"/>
      <c r="H1374" s="53">
        <v>0</v>
      </c>
    </row>
    <row r="1375" spans="3:8">
      <c r="C1375" s="54" t="s">
        <v>38</v>
      </c>
      <c r="D1375" s="55" t="s">
        <v>39</v>
      </c>
      <c r="E1375" s="56"/>
      <c r="F1375" s="57"/>
      <c r="G1375" s="58"/>
      <c r="H1375" s="58"/>
    </row>
    <row r="1376" spans="3:8">
      <c r="C1376" s="39"/>
      <c r="D1376" s="76"/>
      <c r="E1376" s="39"/>
      <c r="F1376" s="40"/>
      <c r="G1376" s="62">
        <v>0</v>
      </c>
      <c r="H1376" s="61">
        <v>0</v>
      </c>
    </row>
    <row r="1377" spans="3:8">
      <c r="C1377" s="39"/>
      <c r="D1377" s="76"/>
      <c r="E1377" s="39"/>
      <c r="F1377" s="115"/>
      <c r="G1377" s="62">
        <v>0</v>
      </c>
      <c r="H1377" s="61">
        <v>0</v>
      </c>
    </row>
    <row r="1378" spans="3:8">
      <c r="C1378" s="39"/>
      <c r="D1378" s="76"/>
      <c r="E1378" s="39"/>
      <c r="F1378" s="116"/>
      <c r="G1378" s="62">
        <v>0</v>
      </c>
      <c r="H1378" s="61">
        <v>0</v>
      </c>
    </row>
    <row r="1379" spans="3:8">
      <c r="C1379" s="39"/>
      <c r="D1379" s="76"/>
      <c r="E1379" s="39"/>
      <c r="F1379" s="40"/>
      <c r="G1379" s="62">
        <v>0</v>
      </c>
      <c r="H1379" s="61">
        <v>0</v>
      </c>
    </row>
    <row r="1380" spans="3:8">
      <c r="C1380" s="39"/>
      <c r="D1380" s="76"/>
      <c r="E1380" s="39"/>
      <c r="F1380" s="40"/>
      <c r="G1380" s="62">
        <v>0</v>
      </c>
      <c r="H1380" s="61">
        <v>0</v>
      </c>
    </row>
    <row r="1381" spans="3:8">
      <c r="C1381" s="39"/>
      <c r="D1381" s="76"/>
      <c r="E1381" s="39"/>
      <c r="F1381" s="40"/>
      <c r="G1381" s="62">
        <v>0</v>
      </c>
      <c r="H1381" s="61">
        <v>0</v>
      </c>
    </row>
    <row r="1382" spans="3:8">
      <c r="C1382" s="39"/>
      <c r="D1382" s="76"/>
      <c r="E1382" s="39"/>
      <c r="F1382" s="40"/>
      <c r="G1382" s="62">
        <v>0</v>
      </c>
      <c r="H1382" s="61">
        <v>0</v>
      </c>
    </row>
    <row r="1383" spans="3:8">
      <c r="C1383" s="39"/>
      <c r="D1383" s="44"/>
      <c r="E1383" s="39"/>
      <c r="F1383" s="49"/>
      <c r="G1383" s="62">
        <v>0</v>
      </c>
      <c r="H1383" s="61">
        <v>0</v>
      </c>
    </row>
    <row r="1384" spans="3:8">
      <c r="C1384" s="51" t="s">
        <v>40</v>
      </c>
      <c r="D1384" s="51"/>
      <c r="E1384" s="51"/>
      <c r="F1384" s="52"/>
      <c r="G1384" s="51"/>
      <c r="H1384" s="53">
        <v>0</v>
      </c>
    </row>
    <row r="1385" spans="3:8">
      <c r="C1385" s="54" t="s">
        <v>41</v>
      </c>
      <c r="D1385" s="55" t="s">
        <v>42</v>
      </c>
      <c r="E1385" s="56"/>
      <c r="F1385" s="63"/>
      <c r="G1385" s="64"/>
      <c r="H1385" s="64">
        <v>0</v>
      </c>
    </row>
    <row r="1386" spans="3:8" ht="30">
      <c r="C1386" s="45" t="s">
        <v>77</v>
      </c>
      <c r="D1386" s="99" t="s">
        <v>243</v>
      </c>
      <c r="E1386" s="45" t="s">
        <v>220</v>
      </c>
      <c r="F1386" s="40">
        <v>1</v>
      </c>
      <c r="G1386" s="50">
        <v>318.113</v>
      </c>
      <c r="H1386" s="50">
        <v>318.113</v>
      </c>
    </row>
    <row r="1387" spans="3:8">
      <c r="C1387" s="45" t="s">
        <v>77</v>
      </c>
      <c r="D1387" s="65" t="s">
        <v>244</v>
      </c>
      <c r="E1387" s="45" t="s">
        <v>28</v>
      </c>
      <c r="F1387" s="40">
        <v>1</v>
      </c>
      <c r="G1387" s="50">
        <v>159.0565</v>
      </c>
      <c r="H1387" s="50">
        <v>159.0565</v>
      </c>
    </row>
    <row r="1388" spans="3:8">
      <c r="C1388" s="45"/>
      <c r="D1388" s="65"/>
      <c r="E1388" s="45"/>
      <c r="F1388" s="40"/>
      <c r="G1388" s="50">
        <v>0</v>
      </c>
      <c r="H1388" s="61">
        <v>0</v>
      </c>
    </row>
    <row r="1389" spans="3:8">
      <c r="C1389" s="45"/>
      <c r="D1389" s="65"/>
      <c r="E1389" s="45"/>
      <c r="F1389" s="40"/>
      <c r="G1389" s="50">
        <v>0</v>
      </c>
      <c r="H1389" s="61">
        <v>0</v>
      </c>
    </row>
    <row r="1390" spans="3:8">
      <c r="C1390" s="45"/>
      <c r="D1390" s="65"/>
      <c r="E1390" s="45"/>
      <c r="F1390" s="40"/>
      <c r="G1390" s="50">
        <v>0</v>
      </c>
      <c r="H1390" s="61">
        <v>0</v>
      </c>
    </row>
    <row r="1391" spans="3:8">
      <c r="C1391" s="45"/>
      <c r="D1391" s="65"/>
      <c r="E1391" s="45"/>
      <c r="F1391" s="40"/>
      <c r="G1391" s="50">
        <v>0</v>
      </c>
      <c r="H1391" s="61">
        <v>0</v>
      </c>
    </row>
    <row r="1392" spans="3:8">
      <c r="C1392" s="45"/>
      <c r="D1392" s="65"/>
      <c r="E1392" s="45"/>
      <c r="F1392" s="40"/>
      <c r="G1392" s="50">
        <v>0</v>
      </c>
      <c r="H1392" s="61">
        <v>0</v>
      </c>
    </row>
    <row r="1393" spans="3:8">
      <c r="C1393" s="45"/>
      <c r="D1393" s="65"/>
      <c r="E1393" s="45"/>
      <c r="F1393" s="40"/>
      <c r="G1393" s="50">
        <v>0</v>
      </c>
      <c r="H1393" s="61">
        <v>0</v>
      </c>
    </row>
    <row r="1394" spans="3:8">
      <c r="C1394" s="51" t="s">
        <v>43</v>
      </c>
      <c r="D1394" s="51"/>
      <c r="E1394" s="51"/>
      <c r="F1394" s="52"/>
      <c r="G1394" s="51"/>
      <c r="H1394" s="53">
        <v>477.16950000000003</v>
      </c>
    </row>
    <row r="1395" spans="3:8" ht="15.75">
      <c r="C1395" s="66" t="s">
        <v>44</v>
      </c>
      <c r="D1395" s="67"/>
      <c r="E1395" s="67"/>
      <c r="F1395" s="68"/>
      <c r="G1395" s="69"/>
      <c r="H1395" s="53">
        <v>477.16950000000003</v>
      </c>
    </row>
    <row r="1396" spans="3:8" ht="15.75">
      <c r="C1396" s="66" t="s">
        <v>45</v>
      </c>
      <c r="D1396" s="67"/>
      <c r="E1396" s="67"/>
      <c r="F1396" s="68"/>
      <c r="G1396" s="69"/>
      <c r="H1396" s="70">
        <v>117.55138879159399</v>
      </c>
    </row>
    <row r="1397" spans="3:8" ht="15.75">
      <c r="C1397" s="66" t="s">
        <v>46</v>
      </c>
      <c r="D1397" s="67"/>
      <c r="E1397" s="67"/>
      <c r="F1397" s="68"/>
      <c r="G1397" s="69"/>
      <c r="H1397" s="53">
        <v>594.72</v>
      </c>
    </row>
    <row r="1398" spans="3:8" ht="15.75">
      <c r="C1398" s="110"/>
      <c r="D1398" s="110"/>
      <c r="E1398" s="110"/>
      <c r="F1398" s="111"/>
      <c r="G1398" s="110"/>
      <c r="H1398" s="112"/>
    </row>
    <row r="1399" spans="3:8" ht="30">
      <c r="C1399" s="22" t="s">
        <v>23</v>
      </c>
      <c r="D1399" s="23" t="s">
        <v>245</v>
      </c>
      <c r="E1399" s="23"/>
      <c r="F1399" s="24"/>
      <c r="G1399" s="25"/>
      <c r="H1399" s="26"/>
    </row>
    <row r="1400" spans="3:8">
      <c r="C1400" s="27" t="s">
        <v>25</v>
      </c>
      <c r="D1400" s="28" t="s">
        <v>246</v>
      </c>
      <c r="E1400" s="29"/>
      <c r="F1400" s="30" t="s">
        <v>27</v>
      </c>
      <c r="G1400" s="31" t="s">
        <v>199</v>
      </c>
      <c r="H1400" s="32">
        <v>1433.27</v>
      </c>
    </row>
    <row r="1401" spans="3:8">
      <c r="C1401" s="33" t="s">
        <v>29</v>
      </c>
      <c r="D1401" s="33" t="s">
        <v>30</v>
      </c>
      <c r="E1401" s="33" t="s">
        <v>31</v>
      </c>
      <c r="F1401" s="34" t="s">
        <v>32</v>
      </c>
      <c r="G1401" s="35" t="s">
        <v>33</v>
      </c>
      <c r="H1401" s="35" t="s">
        <v>34</v>
      </c>
    </row>
    <row r="1402" spans="3:8">
      <c r="C1402" s="33"/>
      <c r="D1402" s="33"/>
      <c r="E1402" s="33"/>
      <c r="F1402" s="34"/>
      <c r="G1402" s="36"/>
      <c r="H1402" s="36"/>
    </row>
    <row r="1403" spans="3:8">
      <c r="C1403" s="37" t="s">
        <v>35</v>
      </c>
      <c r="D1403" s="38" t="s">
        <v>36</v>
      </c>
      <c r="E1403" s="39"/>
      <c r="F1403" s="40"/>
      <c r="G1403" s="41"/>
      <c r="H1403" s="42"/>
    </row>
    <row r="1404" spans="3:8">
      <c r="C1404" s="39"/>
      <c r="D1404" s="71"/>
      <c r="E1404" s="39"/>
      <c r="F1404" s="118"/>
      <c r="G1404" s="50">
        <v>0</v>
      </c>
      <c r="H1404" s="47">
        <v>0</v>
      </c>
    </row>
    <row r="1405" spans="3:8">
      <c r="C1405" s="39"/>
      <c r="D1405" s="65"/>
      <c r="E1405" s="39"/>
      <c r="F1405" s="118"/>
      <c r="G1405" s="50">
        <v>0</v>
      </c>
      <c r="H1405" s="47">
        <v>0</v>
      </c>
    </row>
    <row r="1406" spans="3:8">
      <c r="C1406" s="39"/>
      <c r="D1406" s="44"/>
      <c r="E1406" s="39"/>
      <c r="F1406" s="82"/>
      <c r="G1406" s="50">
        <v>0</v>
      </c>
      <c r="H1406" s="47">
        <v>0</v>
      </c>
    </row>
    <row r="1407" spans="3:8">
      <c r="C1407" s="39"/>
      <c r="D1407" s="44"/>
      <c r="E1407" s="39"/>
      <c r="F1407" s="117"/>
      <c r="G1407" s="50">
        <v>0</v>
      </c>
      <c r="H1407" s="47">
        <v>0</v>
      </c>
    </row>
    <row r="1408" spans="3:8">
      <c r="C1408" s="39"/>
      <c r="D1408" s="65"/>
      <c r="E1408" s="39"/>
      <c r="F1408" s="60"/>
      <c r="G1408" s="46">
        <v>0</v>
      </c>
      <c r="H1408" s="47">
        <v>0</v>
      </c>
    </row>
    <row r="1409" spans="3:8">
      <c r="C1409" s="43"/>
      <c r="D1409" s="65"/>
      <c r="E1409" s="39"/>
      <c r="F1409" s="60"/>
      <c r="G1409" s="46">
        <v>0</v>
      </c>
      <c r="H1409" s="47">
        <v>0</v>
      </c>
    </row>
    <row r="1410" spans="3:8">
      <c r="C1410" s="43"/>
      <c r="D1410" s="65"/>
      <c r="E1410" s="39"/>
      <c r="F1410" s="75"/>
      <c r="G1410" s="46">
        <v>0</v>
      </c>
      <c r="H1410" s="47">
        <v>0</v>
      </c>
    </row>
    <row r="1411" spans="3:8">
      <c r="C1411" s="51" t="s">
        <v>37</v>
      </c>
      <c r="D1411" s="51"/>
      <c r="E1411" s="51"/>
      <c r="F1411" s="52"/>
      <c r="G1411" s="51"/>
      <c r="H1411" s="53">
        <v>0</v>
      </c>
    </row>
    <row r="1412" spans="3:8">
      <c r="C1412" s="54" t="s">
        <v>38</v>
      </c>
      <c r="D1412" s="55" t="s">
        <v>39</v>
      </c>
      <c r="E1412" s="56"/>
      <c r="F1412" s="57"/>
      <c r="G1412" s="58"/>
      <c r="H1412" s="58"/>
    </row>
    <row r="1413" spans="3:8">
      <c r="C1413" s="39"/>
      <c r="D1413" s="76"/>
      <c r="E1413" s="39"/>
      <c r="F1413" s="40"/>
      <c r="G1413" s="62">
        <v>0</v>
      </c>
      <c r="H1413" s="61">
        <v>0</v>
      </c>
    </row>
    <row r="1414" spans="3:8">
      <c r="C1414" s="39"/>
      <c r="D1414" s="76"/>
      <c r="E1414" s="39"/>
      <c r="F1414" s="115"/>
      <c r="G1414" s="62">
        <v>0</v>
      </c>
      <c r="H1414" s="61">
        <v>0</v>
      </c>
    </row>
    <row r="1415" spans="3:8">
      <c r="C1415" s="39"/>
      <c r="D1415" s="76"/>
      <c r="E1415" s="39"/>
      <c r="F1415" s="116"/>
      <c r="G1415" s="62">
        <v>0</v>
      </c>
      <c r="H1415" s="61">
        <v>0</v>
      </c>
    </row>
    <row r="1416" spans="3:8">
      <c r="C1416" s="39"/>
      <c r="D1416" s="76"/>
      <c r="E1416" s="39"/>
      <c r="F1416" s="40"/>
      <c r="G1416" s="62">
        <v>0</v>
      </c>
      <c r="H1416" s="61">
        <v>0</v>
      </c>
    </row>
    <row r="1417" spans="3:8">
      <c r="C1417" s="39"/>
      <c r="D1417" s="76"/>
      <c r="E1417" s="39"/>
      <c r="F1417" s="40"/>
      <c r="G1417" s="62">
        <v>0</v>
      </c>
      <c r="H1417" s="61">
        <v>0</v>
      </c>
    </row>
    <row r="1418" spans="3:8">
      <c r="C1418" s="39"/>
      <c r="D1418" s="76"/>
      <c r="E1418" s="39"/>
      <c r="F1418" s="40"/>
      <c r="G1418" s="47">
        <v>0</v>
      </c>
      <c r="H1418" s="61">
        <v>0</v>
      </c>
    </row>
    <row r="1419" spans="3:8">
      <c r="C1419" s="39"/>
      <c r="D1419" s="76"/>
      <c r="E1419" s="39"/>
      <c r="F1419" s="40"/>
      <c r="G1419" s="62">
        <v>0</v>
      </c>
      <c r="H1419" s="61">
        <v>0</v>
      </c>
    </row>
    <row r="1420" spans="3:8">
      <c r="C1420" s="39"/>
      <c r="D1420" s="44"/>
      <c r="E1420" s="39"/>
      <c r="F1420" s="49"/>
      <c r="G1420" s="47">
        <v>0</v>
      </c>
      <c r="H1420" s="61">
        <v>0</v>
      </c>
    </row>
    <row r="1421" spans="3:8">
      <c r="C1421" s="51" t="s">
        <v>40</v>
      </c>
      <c r="D1421" s="51"/>
      <c r="E1421" s="51"/>
      <c r="F1421" s="52"/>
      <c r="G1421" s="51"/>
      <c r="H1421" s="53">
        <v>0</v>
      </c>
    </row>
    <row r="1422" spans="3:8">
      <c r="C1422" s="54" t="s">
        <v>41</v>
      </c>
      <c r="D1422" s="55" t="s">
        <v>42</v>
      </c>
      <c r="E1422" s="56"/>
      <c r="F1422" s="63"/>
      <c r="G1422" s="64"/>
      <c r="H1422" s="64">
        <v>0</v>
      </c>
    </row>
    <row r="1423" spans="3:8" ht="30">
      <c r="C1423" s="45" t="s">
        <v>77</v>
      </c>
      <c r="D1423" s="99" t="s">
        <v>247</v>
      </c>
      <c r="E1423" s="45" t="s">
        <v>220</v>
      </c>
      <c r="F1423" s="40">
        <v>1</v>
      </c>
      <c r="G1423" s="50">
        <v>766.65094999999997</v>
      </c>
      <c r="H1423" s="50">
        <v>766.65094999999997</v>
      </c>
    </row>
    <row r="1424" spans="3:8">
      <c r="C1424" s="45" t="s">
        <v>77</v>
      </c>
      <c r="D1424" s="65" t="s">
        <v>244</v>
      </c>
      <c r="E1424" s="45" t="s">
        <v>28</v>
      </c>
      <c r="F1424" s="40">
        <v>1</v>
      </c>
      <c r="G1424" s="50">
        <v>383.32547499999998</v>
      </c>
      <c r="H1424" s="50">
        <v>383.32547499999998</v>
      </c>
    </row>
    <row r="1425" spans="3:8">
      <c r="C1425" s="45"/>
      <c r="D1425" s="65"/>
      <c r="E1425" s="45"/>
      <c r="F1425" s="40"/>
      <c r="G1425" s="50">
        <v>0</v>
      </c>
      <c r="H1425" s="61">
        <v>0</v>
      </c>
    </row>
    <row r="1426" spans="3:8">
      <c r="C1426" s="45"/>
      <c r="D1426" s="65"/>
      <c r="E1426" s="45"/>
      <c r="F1426" s="40"/>
      <c r="G1426" s="50">
        <v>0</v>
      </c>
      <c r="H1426" s="61">
        <v>0</v>
      </c>
    </row>
    <row r="1427" spans="3:8">
      <c r="C1427" s="45"/>
      <c r="D1427" s="65"/>
      <c r="E1427" s="45"/>
      <c r="F1427" s="40"/>
      <c r="G1427" s="50">
        <v>0</v>
      </c>
      <c r="H1427" s="61">
        <v>0</v>
      </c>
    </row>
    <row r="1428" spans="3:8">
      <c r="C1428" s="45"/>
      <c r="D1428" s="65"/>
      <c r="E1428" s="45"/>
      <c r="F1428" s="40"/>
      <c r="G1428" s="50">
        <v>0</v>
      </c>
      <c r="H1428" s="61">
        <v>0</v>
      </c>
    </row>
    <row r="1429" spans="3:8">
      <c r="C1429" s="45"/>
      <c r="D1429" s="65"/>
      <c r="E1429" s="45"/>
      <c r="F1429" s="40"/>
      <c r="G1429" s="50">
        <v>0</v>
      </c>
      <c r="H1429" s="61">
        <v>0</v>
      </c>
    </row>
    <row r="1430" spans="3:8">
      <c r="C1430" s="45"/>
      <c r="D1430" s="65"/>
      <c r="E1430" s="45"/>
      <c r="F1430" s="40"/>
      <c r="G1430" s="50">
        <v>0</v>
      </c>
      <c r="H1430" s="61">
        <v>0</v>
      </c>
    </row>
    <row r="1431" spans="3:8">
      <c r="C1431" s="51" t="s">
        <v>43</v>
      </c>
      <c r="D1431" s="51"/>
      <c r="E1431" s="51"/>
      <c r="F1431" s="52"/>
      <c r="G1431" s="51"/>
      <c r="H1431" s="53">
        <v>1149.9764250000001</v>
      </c>
    </row>
    <row r="1432" spans="3:8" ht="15.75">
      <c r="C1432" s="66" t="s">
        <v>44</v>
      </c>
      <c r="D1432" s="67"/>
      <c r="E1432" s="67"/>
      <c r="F1432" s="68"/>
      <c r="G1432" s="69"/>
      <c r="H1432" s="53">
        <v>1149.9764250000001</v>
      </c>
    </row>
    <row r="1433" spans="3:8" ht="15.75">
      <c r="C1433" s="66" t="s">
        <v>45</v>
      </c>
      <c r="D1433" s="67"/>
      <c r="E1433" s="67"/>
      <c r="F1433" s="68"/>
      <c r="G1433" s="69"/>
      <c r="H1433" s="70">
        <v>283.29833704027999</v>
      </c>
    </row>
    <row r="1434" spans="3:8" ht="15.75">
      <c r="C1434" s="66" t="s">
        <v>46</v>
      </c>
      <c r="D1434" s="67"/>
      <c r="E1434" s="67"/>
      <c r="F1434" s="68"/>
      <c r="G1434" s="69"/>
      <c r="H1434" s="53">
        <v>1433.27</v>
      </c>
    </row>
    <row r="1435" spans="3:8" ht="15.75">
      <c r="C1435" s="110"/>
      <c r="D1435" s="110"/>
      <c r="E1435" s="110"/>
      <c r="F1435" s="111"/>
      <c r="G1435" s="110"/>
      <c r="H1435" s="112"/>
    </row>
    <row r="1436" spans="3:8" ht="30">
      <c r="C1436" s="22" t="s">
        <v>23</v>
      </c>
      <c r="D1436" s="23" t="s">
        <v>248</v>
      </c>
      <c r="E1436" s="23"/>
      <c r="F1436" s="24"/>
      <c r="G1436" s="25"/>
      <c r="H1436" s="26"/>
    </row>
    <row r="1437" spans="3:8">
      <c r="C1437" s="27" t="s">
        <v>25</v>
      </c>
      <c r="D1437" s="28" t="s">
        <v>249</v>
      </c>
      <c r="E1437" s="29"/>
      <c r="F1437" s="30" t="s">
        <v>27</v>
      </c>
      <c r="G1437" s="31" t="s">
        <v>199</v>
      </c>
      <c r="H1437" s="32">
        <v>1433.27</v>
      </c>
    </row>
    <row r="1438" spans="3:8">
      <c r="C1438" s="33" t="s">
        <v>29</v>
      </c>
      <c r="D1438" s="33" t="s">
        <v>30</v>
      </c>
      <c r="E1438" s="33" t="s">
        <v>31</v>
      </c>
      <c r="F1438" s="34" t="s">
        <v>32</v>
      </c>
      <c r="G1438" s="35" t="s">
        <v>33</v>
      </c>
      <c r="H1438" s="35" t="s">
        <v>34</v>
      </c>
    </row>
    <row r="1439" spans="3:8">
      <c r="C1439" s="33"/>
      <c r="D1439" s="33"/>
      <c r="E1439" s="33"/>
      <c r="F1439" s="34"/>
      <c r="G1439" s="36"/>
      <c r="H1439" s="36"/>
    </row>
    <row r="1440" spans="3:8">
      <c r="C1440" s="37" t="s">
        <v>35</v>
      </c>
      <c r="D1440" s="38" t="s">
        <v>36</v>
      </c>
      <c r="E1440" s="39"/>
      <c r="F1440" s="40"/>
      <c r="G1440" s="41"/>
      <c r="H1440" s="42"/>
    </row>
    <row r="1441" spans="3:8">
      <c r="C1441" s="39"/>
      <c r="D1441" s="71"/>
      <c r="E1441" s="39"/>
      <c r="F1441" s="60"/>
      <c r="G1441" s="46">
        <v>0</v>
      </c>
      <c r="H1441" s="47">
        <v>0</v>
      </c>
    </row>
    <row r="1442" spans="3:8">
      <c r="C1442" s="39"/>
      <c r="D1442" s="65"/>
      <c r="E1442" s="39"/>
      <c r="F1442" s="60"/>
      <c r="G1442" s="46">
        <v>0</v>
      </c>
      <c r="H1442" s="47">
        <v>0</v>
      </c>
    </row>
    <row r="1443" spans="3:8">
      <c r="C1443" s="39"/>
      <c r="D1443" s="65"/>
      <c r="E1443" s="39"/>
      <c r="F1443" s="60"/>
      <c r="G1443" s="46">
        <v>0</v>
      </c>
      <c r="H1443" s="47">
        <v>0</v>
      </c>
    </row>
    <row r="1444" spans="3:8">
      <c r="C1444" s="39"/>
      <c r="D1444" s="65"/>
      <c r="E1444" s="39"/>
      <c r="F1444" s="60"/>
      <c r="G1444" s="46">
        <v>0</v>
      </c>
      <c r="H1444" s="47">
        <v>0</v>
      </c>
    </row>
    <row r="1445" spans="3:8">
      <c r="C1445" s="39"/>
      <c r="D1445" s="65"/>
      <c r="E1445" s="108"/>
      <c r="F1445" s="60"/>
      <c r="G1445" s="46">
        <v>0</v>
      </c>
      <c r="H1445" s="47">
        <v>0</v>
      </c>
    </row>
    <row r="1446" spans="3:8">
      <c r="C1446" s="39"/>
      <c r="D1446" s="65"/>
      <c r="E1446" s="39"/>
      <c r="F1446" s="60"/>
      <c r="G1446" s="46">
        <v>0</v>
      </c>
      <c r="H1446" s="47">
        <v>0</v>
      </c>
    </row>
    <row r="1447" spans="3:8">
      <c r="C1447" s="43"/>
      <c r="D1447" s="65"/>
      <c r="E1447" s="39"/>
      <c r="F1447" s="60"/>
      <c r="G1447" s="46">
        <v>0</v>
      </c>
      <c r="H1447" s="47">
        <v>0</v>
      </c>
    </row>
    <row r="1448" spans="3:8">
      <c r="C1448" s="43"/>
      <c r="D1448" s="65"/>
      <c r="E1448" s="39"/>
      <c r="F1448" s="75"/>
      <c r="G1448" s="46">
        <v>0</v>
      </c>
      <c r="H1448" s="47">
        <v>0</v>
      </c>
    </row>
    <row r="1449" spans="3:8">
      <c r="C1449" s="51" t="s">
        <v>37</v>
      </c>
      <c r="D1449" s="51"/>
      <c r="E1449" s="51"/>
      <c r="F1449" s="52"/>
      <c r="G1449" s="51"/>
      <c r="H1449" s="53">
        <v>0</v>
      </c>
    </row>
    <row r="1450" spans="3:8">
      <c r="C1450" s="54" t="s">
        <v>38</v>
      </c>
      <c r="D1450" s="55" t="s">
        <v>39</v>
      </c>
      <c r="E1450" s="56"/>
      <c r="F1450" s="57"/>
      <c r="G1450" s="58"/>
      <c r="H1450" s="58"/>
    </row>
    <row r="1451" spans="3:8">
      <c r="C1451" s="39"/>
      <c r="D1451" s="76"/>
      <c r="E1451" s="39"/>
      <c r="F1451" s="49"/>
      <c r="G1451" s="119">
        <v>0</v>
      </c>
      <c r="H1451" s="83">
        <v>0</v>
      </c>
    </row>
    <row r="1452" spans="3:8">
      <c r="C1452" s="39"/>
      <c r="D1452" s="76"/>
      <c r="E1452" s="39"/>
      <c r="F1452" s="40"/>
      <c r="G1452" s="47">
        <v>0</v>
      </c>
      <c r="H1452" s="61">
        <v>0</v>
      </c>
    </row>
    <row r="1453" spans="3:8">
      <c r="C1453" s="39"/>
      <c r="D1453" s="76"/>
      <c r="E1453" s="39"/>
      <c r="F1453" s="40"/>
      <c r="G1453" s="47">
        <v>0</v>
      </c>
      <c r="H1453" s="61">
        <v>0</v>
      </c>
    </row>
    <row r="1454" spans="3:8">
      <c r="C1454" s="39"/>
      <c r="D1454" s="76"/>
      <c r="E1454" s="39"/>
      <c r="F1454" s="40"/>
      <c r="G1454" s="47">
        <v>0</v>
      </c>
      <c r="H1454" s="61">
        <v>0</v>
      </c>
    </row>
    <row r="1455" spans="3:8">
      <c r="C1455" s="39"/>
      <c r="D1455" s="76"/>
      <c r="E1455" s="39"/>
      <c r="F1455" s="40"/>
      <c r="G1455" s="47">
        <v>0</v>
      </c>
      <c r="H1455" s="61">
        <v>0</v>
      </c>
    </row>
    <row r="1456" spans="3:8">
      <c r="C1456" s="39"/>
      <c r="D1456" s="76"/>
      <c r="E1456" s="39"/>
      <c r="F1456" s="40"/>
      <c r="G1456" s="47">
        <v>0</v>
      </c>
      <c r="H1456" s="61">
        <v>0</v>
      </c>
    </row>
    <row r="1457" spans="3:8">
      <c r="C1457" s="39"/>
      <c r="D1457" s="76"/>
      <c r="E1457" s="39"/>
      <c r="F1457" s="40"/>
      <c r="G1457" s="62">
        <v>0</v>
      </c>
      <c r="H1457" s="61">
        <v>0</v>
      </c>
    </row>
    <row r="1458" spans="3:8">
      <c r="C1458" s="39"/>
      <c r="D1458" s="44"/>
      <c r="E1458" s="39"/>
      <c r="F1458" s="49"/>
      <c r="G1458" s="47">
        <v>0</v>
      </c>
      <c r="H1458" s="61">
        <v>0</v>
      </c>
    </row>
    <row r="1459" spans="3:8">
      <c r="C1459" s="51" t="s">
        <v>40</v>
      </c>
      <c r="D1459" s="51"/>
      <c r="E1459" s="51"/>
      <c r="F1459" s="52"/>
      <c r="G1459" s="51"/>
      <c r="H1459" s="53">
        <v>0</v>
      </c>
    </row>
    <row r="1460" spans="3:8">
      <c r="C1460" s="54" t="s">
        <v>41</v>
      </c>
      <c r="D1460" s="55" t="s">
        <v>42</v>
      </c>
      <c r="E1460" s="56"/>
      <c r="F1460" s="63"/>
      <c r="G1460" s="64"/>
      <c r="H1460" s="64">
        <v>0</v>
      </c>
    </row>
    <row r="1461" spans="3:8">
      <c r="C1461" s="45" t="s">
        <v>77</v>
      </c>
      <c r="D1461" s="99" t="s">
        <v>250</v>
      </c>
      <c r="E1461" s="45" t="s">
        <v>220</v>
      </c>
      <c r="F1461" s="40">
        <v>1</v>
      </c>
      <c r="G1461" s="50">
        <v>766.65094999999997</v>
      </c>
      <c r="H1461" s="50">
        <v>766.65094999999997</v>
      </c>
    </row>
    <row r="1462" spans="3:8">
      <c r="C1462" s="45" t="s">
        <v>77</v>
      </c>
      <c r="D1462" s="65" t="s">
        <v>244</v>
      </c>
      <c r="E1462" s="45" t="s">
        <v>28</v>
      </c>
      <c r="F1462" s="40">
        <v>1</v>
      </c>
      <c r="G1462" s="50">
        <v>383.32547499999998</v>
      </c>
      <c r="H1462" s="50">
        <v>383.32547499999998</v>
      </c>
    </row>
    <row r="1463" spans="3:8">
      <c r="C1463" s="45"/>
      <c r="D1463" s="65"/>
      <c r="E1463" s="45"/>
      <c r="F1463" s="40"/>
      <c r="G1463" s="50">
        <v>0</v>
      </c>
      <c r="H1463" s="61">
        <v>0</v>
      </c>
    </row>
    <row r="1464" spans="3:8">
      <c r="C1464" s="45"/>
      <c r="D1464" s="65"/>
      <c r="E1464" s="45"/>
      <c r="F1464" s="40"/>
      <c r="G1464" s="50">
        <v>0</v>
      </c>
      <c r="H1464" s="61">
        <v>0</v>
      </c>
    </row>
    <row r="1465" spans="3:8">
      <c r="C1465" s="45"/>
      <c r="D1465" s="65"/>
      <c r="E1465" s="45"/>
      <c r="F1465" s="40"/>
      <c r="G1465" s="50">
        <v>0</v>
      </c>
      <c r="H1465" s="61">
        <v>0</v>
      </c>
    </row>
    <row r="1466" spans="3:8">
      <c r="C1466" s="45"/>
      <c r="D1466" s="65"/>
      <c r="E1466" s="45"/>
      <c r="F1466" s="40"/>
      <c r="G1466" s="50">
        <v>0</v>
      </c>
      <c r="H1466" s="61">
        <v>0</v>
      </c>
    </row>
    <row r="1467" spans="3:8">
      <c r="C1467" s="45"/>
      <c r="D1467" s="65"/>
      <c r="E1467" s="45"/>
      <c r="F1467" s="40"/>
      <c r="G1467" s="50">
        <v>0</v>
      </c>
      <c r="H1467" s="61">
        <v>0</v>
      </c>
    </row>
    <row r="1468" spans="3:8">
      <c r="C1468" s="45"/>
      <c r="D1468" s="65"/>
      <c r="E1468" s="45"/>
      <c r="F1468" s="40"/>
      <c r="G1468" s="50">
        <v>0</v>
      </c>
      <c r="H1468" s="61">
        <v>0</v>
      </c>
    </row>
    <row r="1469" spans="3:8">
      <c r="C1469" s="51" t="s">
        <v>43</v>
      </c>
      <c r="D1469" s="51"/>
      <c r="E1469" s="51"/>
      <c r="F1469" s="52"/>
      <c r="G1469" s="51"/>
      <c r="H1469" s="53">
        <v>1149.9764250000001</v>
      </c>
    </row>
    <row r="1470" spans="3:8" ht="15.75">
      <c r="C1470" s="66" t="s">
        <v>44</v>
      </c>
      <c r="D1470" s="67"/>
      <c r="E1470" s="67"/>
      <c r="F1470" s="68"/>
      <c r="G1470" s="69"/>
      <c r="H1470" s="53">
        <v>1149.9764250000001</v>
      </c>
    </row>
    <row r="1471" spans="3:8" ht="15.75">
      <c r="C1471" s="66" t="s">
        <v>45</v>
      </c>
      <c r="D1471" s="67"/>
      <c r="E1471" s="67"/>
      <c r="F1471" s="68"/>
      <c r="G1471" s="69"/>
      <c r="H1471" s="70">
        <v>283.29833704027999</v>
      </c>
    </row>
    <row r="1472" spans="3:8" ht="15.75">
      <c r="C1472" s="66" t="s">
        <v>46</v>
      </c>
      <c r="D1472" s="67"/>
      <c r="E1472" s="67"/>
      <c r="F1472" s="68"/>
      <c r="G1472" s="69"/>
      <c r="H1472" s="53">
        <v>1433.27</v>
      </c>
    </row>
    <row r="1473" spans="3:8" ht="15.75">
      <c r="C1473" s="110"/>
      <c r="D1473" s="110"/>
      <c r="E1473" s="110"/>
      <c r="F1473" s="111"/>
      <c r="G1473" s="110"/>
      <c r="H1473" s="112"/>
    </row>
    <row r="1474" spans="3:8" ht="30">
      <c r="C1474" s="22" t="s">
        <v>23</v>
      </c>
      <c r="D1474" s="23" t="s">
        <v>251</v>
      </c>
      <c r="E1474" s="23"/>
      <c r="F1474" s="24"/>
      <c r="G1474" s="25"/>
      <c r="H1474" s="26"/>
    </row>
    <row r="1475" spans="3:8">
      <c r="C1475" s="27" t="s">
        <v>25</v>
      </c>
      <c r="D1475" s="28" t="s">
        <v>252</v>
      </c>
      <c r="E1475" s="29"/>
      <c r="F1475" s="30" t="s">
        <v>27</v>
      </c>
      <c r="G1475" s="31" t="s">
        <v>199</v>
      </c>
      <c r="H1475" s="32">
        <v>1863.98</v>
      </c>
    </row>
    <row r="1476" spans="3:8">
      <c r="C1476" s="33" t="s">
        <v>29</v>
      </c>
      <c r="D1476" s="33" t="s">
        <v>30</v>
      </c>
      <c r="E1476" s="33" t="s">
        <v>31</v>
      </c>
      <c r="F1476" s="34" t="s">
        <v>32</v>
      </c>
      <c r="G1476" s="35" t="s">
        <v>33</v>
      </c>
      <c r="H1476" s="35" t="s">
        <v>34</v>
      </c>
    </row>
    <row r="1477" spans="3:8">
      <c r="C1477" s="33"/>
      <c r="D1477" s="33"/>
      <c r="E1477" s="33"/>
      <c r="F1477" s="34"/>
      <c r="G1477" s="36"/>
      <c r="H1477" s="36"/>
    </row>
    <row r="1478" spans="3:8">
      <c r="C1478" s="37" t="s">
        <v>35</v>
      </c>
      <c r="D1478" s="38" t="s">
        <v>36</v>
      </c>
      <c r="E1478" s="39"/>
      <c r="F1478" s="40"/>
      <c r="G1478" s="41"/>
      <c r="H1478" s="42"/>
    </row>
    <row r="1479" spans="3:8">
      <c r="C1479" s="39"/>
      <c r="D1479" s="71"/>
      <c r="E1479" s="39"/>
      <c r="F1479" s="60"/>
      <c r="G1479" s="46">
        <v>0</v>
      </c>
      <c r="H1479" s="47">
        <v>0</v>
      </c>
    </row>
    <row r="1480" spans="3:8">
      <c r="C1480" s="39"/>
      <c r="D1480" s="65"/>
      <c r="E1480" s="39"/>
      <c r="F1480" s="60"/>
      <c r="G1480" s="46">
        <v>0</v>
      </c>
      <c r="H1480" s="47">
        <v>0</v>
      </c>
    </row>
    <row r="1481" spans="3:8">
      <c r="C1481" s="39"/>
      <c r="D1481" s="65"/>
      <c r="E1481" s="39"/>
      <c r="F1481" s="113"/>
      <c r="G1481" s="46">
        <v>0</v>
      </c>
      <c r="H1481" s="47">
        <v>0</v>
      </c>
    </row>
    <row r="1482" spans="3:8">
      <c r="C1482" s="39"/>
      <c r="D1482" s="65"/>
      <c r="E1482" s="39"/>
      <c r="F1482" s="60"/>
      <c r="G1482" s="46">
        <v>0</v>
      </c>
      <c r="H1482" s="47">
        <v>0</v>
      </c>
    </row>
    <row r="1483" spans="3:8">
      <c r="C1483" s="39"/>
      <c r="D1483" s="65"/>
      <c r="E1483" s="108"/>
      <c r="F1483" s="60"/>
      <c r="G1483" s="46">
        <v>0</v>
      </c>
      <c r="H1483" s="47">
        <v>0</v>
      </c>
    </row>
    <row r="1484" spans="3:8">
      <c r="C1484" s="39"/>
      <c r="D1484" s="65"/>
      <c r="E1484" s="39"/>
      <c r="F1484" s="60"/>
      <c r="G1484" s="46">
        <v>0</v>
      </c>
      <c r="H1484" s="47">
        <v>0</v>
      </c>
    </row>
    <row r="1485" spans="3:8">
      <c r="C1485" s="43"/>
      <c r="D1485" s="65"/>
      <c r="E1485" s="39"/>
      <c r="F1485" s="60"/>
      <c r="G1485" s="46">
        <v>0</v>
      </c>
      <c r="H1485" s="47">
        <v>0</v>
      </c>
    </row>
    <row r="1486" spans="3:8">
      <c r="C1486" s="43"/>
      <c r="D1486" s="65"/>
      <c r="E1486" s="39"/>
      <c r="F1486" s="75"/>
      <c r="G1486" s="46">
        <v>0</v>
      </c>
      <c r="H1486" s="47">
        <v>0</v>
      </c>
    </row>
    <row r="1487" spans="3:8">
      <c r="C1487" s="51" t="s">
        <v>37</v>
      </c>
      <c r="D1487" s="51"/>
      <c r="E1487" s="51"/>
      <c r="F1487" s="52"/>
      <c r="G1487" s="51"/>
      <c r="H1487" s="53">
        <v>0</v>
      </c>
    </row>
    <row r="1488" spans="3:8">
      <c r="C1488" s="54" t="s">
        <v>38</v>
      </c>
      <c r="D1488" s="55" t="s">
        <v>39</v>
      </c>
      <c r="E1488" s="56"/>
      <c r="F1488" s="57"/>
      <c r="G1488" s="58"/>
      <c r="H1488" s="58"/>
    </row>
    <row r="1489" spans="3:8">
      <c r="C1489" s="39"/>
      <c r="D1489" s="76"/>
      <c r="E1489" s="39"/>
      <c r="F1489" s="40"/>
      <c r="G1489" s="62">
        <v>0</v>
      </c>
      <c r="H1489" s="61">
        <v>0</v>
      </c>
    </row>
    <row r="1490" spans="3:8">
      <c r="C1490" s="39"/>
      <c r="D1490" s="76"/>
      <c r="E1490" s="39"/>
      <c r="F1490" s="116"/>
      <c r="G1490" s="47">
        <v>0</v>
      </c>
      <c r="H1490" s="61">
        <v>0</v>
      </c>
    </row>
    <row r="1491" spans="3:8">
      <c r="C1491" s="39"/>
      <c r="D1491" s="76"/>
      <c r="E1491" s="39"/>
      <c r="F1491" s="120"/>
      <c r="G1491" s="47">
        <v>0</v>
      </c>
      <c r="H1491" s="61">
        <v>0</v>
      </c>
    </row>
    <row r="1492" spans="3:8">
      <c r="C1492" s="39"/>
      <c r="D1492" s="76"/>
      <c r="E1492" s="39"/>
      <c r="F1492" s="40"/>
      <c r="G1492" s="47">
        <v>0</v>
      </c>
      <c r="H1492" s="61">
        <v>0</v>
      </c>
    </row>
    <row r="1493" spans="3:8">
      <c r="C1493" s="39"/>
      <c r="D1493" s="76"/>
      <c r="E1493" s="39"/>
      <c r="F1493" s="40"/>
      <c r="G1493" s="47">
        <v>0</v>
      </c>
      <c r="H1493" s="61">
        <v>0</v>
      </c>
    </row>
    <row r="1494" spans="3:8">
      <c r="C1494" s="39"/>
      <c r="D1494" s="76"/>
      <c r="E1494" s="39"/>
      <c r="F1494" s="40"/>
      <c r="G1494" s="47">
        <v>0</v>
      </c>
      <c r="H1494" s="61">
        <v>0</v>
      </c>
    </row>
    <row r="1495" spans="3:8">
      <c r="C1495" s="39"/>
      <c r="D1495" s="76"/>
      <c r="E1495" s="39"/>
      <c r="F1495" s="40"/>
      <c r="G1495" s="62">
        <v>0</v>
      </c>
      <c r="H1495" s="61">
        <v>0</v>
      </c>
    </row>
    <row r="1496" spans="3:8">
      <c r="C1496" s="39"/>
      <c r="D1496" s="44"/>
      <c r="E1496" s="39"/>
      <c r="F1496" s="49"/>
      <c r="G1496" s="47">
        <v>0</v>
      </c>
      <c r="H1496" s="61">
        <v>0</v>
      </c>
    </row>
    <row r="1497" spans="3:8">
      <c r="C1497" s="51" t="s">
        <v>40</v>
      </c>
      <c r="D1497" s="51"/>
      <c r="E1497" s="51"/>
      <c r="F1497" s="52"/>
      <c r="G1497" s="51"/>
      <c r="H1497" s="53">
        <v>0</v>
      </c>
    </row>
    <row r="1498" spans="3:8">
      <c r="C1498" s="54" t="s">
        <v>41</v>
      </c>
      <c r="D1498" s="55" t="s">
        <v>42</v>
      </c>
      <c r="E1498" s="56"/>
      <c r="F1498" s="63"/>
      <c r="G1498" s="64"/>
      <c r="H1498" s="64">
        <v>0</v>
      </c>
    </row>
    <row r="1499" spans="3:8" ht="30">
      <c r="C1499" s="45" t="s">
        <v>77</v>
      </c>
      <c r="D1499" s="99" t="s">
        <v>253</v>
      </c>
      <c r="E1499" s="45" t="s">
        <v>220</v>
      </c>
      <c r="F1499" s="40">
        <v>1</v>
      </c>
      <c r="G1499" s="50">
        <v>997.03499999999997</v>
      </c>
      <c r="H1499" s="50">
        <v>997.03499999999997</v>
      </c>
    </row>
    <row r="1500" spans="3:8">
      <c r="C1500" s="45" t="s">
        <v>77</v>
      </c>
      <c r="D1500" s="65" t="s">
        <v>244</v>
      </c>
      <c r="E1500" s="45" t="s">
        <v>28</v>
      </c>
      <c r="F1500" s="40">
        <v>1</v>
      </c>
      <c r="G1500" s="50">
        <v>498.51749999999998</v>
      </c>
      <c r="H1500" s="50">
        <v>498.51749999999998</v>
      </c>
    </row>
    <row r="1501" spans="3:8">
      <c r="C1501" s="45"/>
      <c r="D1501" s="65"/>
      <c r="E1501" s="45"/>
      <c r="F1501" s="40"/>
      <c r="G1501" s="50">
        <v>0</v>
      </c>
      <c r="H1501" s="61">
        <v>0</v>
      </c>
    </row>
    <row r="1502" spans="3:8">
      <c r="C1502" s="45"/>
      <c r="D1502" s="65"/>
      <c r="E1502" s="45"/>
      <c r="F1502" s="40"/>
      <c r="G1502" s="50">
        <v>0</v>
      </c>
      <c r="H1502" s="61">
        <v>0</v>
      </c>
    </row>
    <row r="1503" spans="3:8">
      <c r="C1503" s="45"/>
      <c r="D1503" s="65"/>
      <c r="E1503" s="45"/>
      <c r="F1503" s="40"/>
      <c r="G1503" s="50">
        <v>0</v>
      </c>
      <c r="H1503" s="61">
        <v>0</v>
      </c>
    </row>
    <row r="1504" spans="3:8">
      <c r="C1504" s="45"/>
      <c r="D1504" s="65"/>
      <c r="E1504" s="45"/>
      <c r="F1504" s="40"/>
      <c r="G1504" s="50">
        <v>0</v>
      </c>
      <c r="H1504" s="61">
        <v>0</v>
      </c>
    </row>
    <row r="1505" spans="3:8">
      <c r="C1505" s="45"/>
      <c r="D1505" s="65"/>
      <c r="E1505" s="45"/>
      <c r="F1505" s="40"/>
      <c r="G1505" s="50">
        <v>0</v>
      </c>
      <c r="H1505" s="61">
        <v>0</v>
      </c>
    </row>
    <row r="1506" spans="3:8">
      <c r="C1506" s="45"/>
      <c r="D1506" s="65"/>
      <c r="E1506" s="45"/>
      <c r="F1506" s="40"/>
      <c r="G1506" s="50">
        <v>0</v>
      </c>
      <c r="H1506" s="61">
        <v>0</v>
      </c>
    </row>
    <row r="1507" spans="3:8">
      <c r="C1507" s="51" t="s">
        <v>43</v>
      </c>
      <c r="D1507" s="51"/>
      <c r="E1507" s="51"/>
      <c r="F1507" s="52"/>
      <c r="G1507" s="51"/>
      <c r="H1507" s="53">
        <v>1495.5525</v>
      </c>
    </row>
    <row r="1508" spans="3:8" ht="15.75">
      <c r="C1508" s="66" t="s">
        <v>44</v>
      </c>
      <c r="D1508" s="67"/>
      <c r="E1508" s="67"/>
      <c r="F1508" s="68"/>
      <c r="G1508" s="69"/>
      <c r="H1508" s="53">
        <v>1495.5525</v>
      </c>
    </row>
    <row r="1509" spans="3:8" ht="15.75">
      <c r="C1509" s="66" t="s">
        <v>45</v>
      </c>
      <c r="D1509" s="67"/>
      <c r="E1509" s="67"/>
      <c r="F1509" s="68"/>
      <c r="G1509" s="69"/>
      <c r="H1509" s="70">
        <v>368.431497373029</v>
      </c>
    </row>
    <row r="1510" spans="3:8" ht="15.75">
      <c r="C1510" s="66" t="s">
        <v>46</v>
      </c>
      <c r="D1510" s="67"/>
      <c r="E1510" s="67"/>
      <c r="F1510" s="68"/>
      <c r="G1510" s="69"/>
      <c r="H1510" s="53">
        <v>1863.98</v>
      </c>
    </row>
    <row r="1511" spans="3:8" ht="15.75">
      <c r="C1511" s="110"/>
      <c r="D1511" s="110"/>
      <c r="E1511" s="110"/>
      <c r="F1511" s="111"/>
      <c r="G1511" s="110"/>
      <c r="H1511" s="112"/>
    </row>
    <row r="1512" spans="3:8" ht="30">
      <c r="C1512" s="22" t="s">
        <v>23</v>
      </c>
      <c r="D1512" s="23" t="s">
        <v>254</v>
      </c>
      <c r="E1512" s="23"/>
      <c r="F1512" s="24"/>
      <c r="G1512" s="25"/>
      <c r="H1512" s="26"/>
    </row>
    <row r="1513" spans="3:8">
      <c r="C1513" s="27" t="s">
        <v>25</v>
      </c>
      <c r="D1513" s="28" t="s">
        <v>255</v>
      </c>
      <c r="E1513" s="29"/>
      <c r="F1513" s="30" t="s">
        <v>27</v>
      </c>
      <c r="G1513" s="31" t="s">
        <v>199</v>
      </c>
      <c r="H1513" s="32">
        <v>2143.58</v>
      </c>
    </row>
    <row r="1514" spans="3:8">
      <c r="C1514" s="33" t="s">
        <v>29</v>
      </c>
      <c r="D1514" s="33" t="s">
        <v>30</v>
      </c>
      <c r="E1514" s="33" t="s">
        <v>31</v>
      </c>
      <c r="F1514" s="34" t="s">
        <v>32</v>
      </c>
      <c r="G1514" s="35" t="s">
        <v>33</v>
      </c>
      <c r="H1514" s="35" t="s">
        <v>34</v>
      </c>
    </row>
    <row r="1515" spans="3:8">
      <c r="C1515" s="33"/>
      <c r="D1515" s="33"/>
      <c r="E1515" s="33"/>
      <c r="F1515" s="34"/>
      <c r="G1515" s="36"/>
      <c r="H1515" s="36"/>
    </row>
    <row r="1516" spans="3:8">
      <c r="C1516" s="37" t="s">
        <v>35</v>
      </c>
      <c r="D1516" s="38" t="s">
        <v>36</v>
      </c>
      <c r="E1516" s="39"/>
      <c r="F1516" s="40"/>
      <c r="G1516" s="41"/>
      <c r="H1516" s="42"/>
    </row>
    <row r="1517" spans="3:8">
      <c r="C1517" s="39"/>
      <c r="D1517" s="71"/>
      <c r="E1517" s="39"/>
      <c r="F1517" s="60"/>
      <c r="G1517" s="50">
        <v>0</v>
      </c>
      <c r="H1517" s="47">
        <v>0</v>
      </c>
    </row>
    <row r="1518" spans="3:8">
      <c r="C1518" s="39"/>
      <c r="D1518" s="65"/>
      <c r="E1518" s="39"/>
      <c r="F1518" s="60"/>
      <c r="G1518" s="50">
        <v>0</v>
      </c>
      <c r="H1518" s="47">
        <v>0</v>
      </c>
    </row>
    <row r="1519" spans="3:8">
      <c r="C1519" s="39"/>
      <c r="D1519" s="65"/>
      <c r="E1519" s="39"/>
      <c r="F1519" s="113"/>
      <c r="G1519" s="50">
        <v>0</v>
      </c>
      <c r="H1519" s="47">
        <v>0</v>
      </c>
    </row>
    <row r="1520" spans="3:8">
      <c r="C1520" s="39"/>
      <c r="D1520" s="65"/>
      <c r="E1520" s="39"/>
      <c r="F1520" s="60"/>
      <c r="G1520" s="46">
        <v>0</v>
      </c>
      <c r="H1520" s="47">
        <v>0</v>
      </c>
    </row>
    <row r="1521" spans="3:8">
      <c r="C1521" s="39"/>
      <c r="D1521" s="65"/>
      <c r="E1521" s="108"/>
      <c r="F1521" s="60"/>
      <c r="G1521" s="46">
        <v>0</v>
      </c>
      <c r="H1521" s="47">
        <v>0</v>
      </c>
    </row>
    <row r="1522" spans="3:8">
      <c r="C1522" s="39"/>
      <c r="D1522" s="65"/>
      <c r="E1522" s="39"/>
      <c r="F1522" s="60"/>
      <c r="G1522" s="46">
        <v>0</v>
      </c>
      <c r="H1522" s="47">
        <v>0</v>
      </c>
    </row>
    <row r="1523" spans="3:8">
      <c r="C1523" s="43"/>
      <c r="D1523" s="65"/>
      <c r="E1523" s="39"/>
      <c r="F1523" s="60"/>
      <c r="G1523" s="46">
        <v>0</v>
      </c>
      <c r="H1523" s="47">
        <v>0</v>
      </c>
    </row>
    <row r="1524" spans="3:8">
      <c r="C1524" s="43"/>
      <c r="D1524" s="65"/>
      <c r="E1524" s="39"/>
      <c r="F1524" s="75"/>
      <c r="G1524" s="46">
        <v>0</v>
      </c>
      <c r="H1524" s="47">
        <v>0</v>
      </c>
    </row>
    <row r="1525" spans="3:8">
      <c r="C1525" s="51" t="s">
        <v>37</v>
      </c>
      <c r="D1525" s="51"/>
      <c r="E1525" s="51"/>
      <c r="F1525" s="52"/>
      <c r="G1525" s="51"/>
      <c r="H1525" s="53">
        <v>0</v>
      </c>
    </row>
    <row r="1526" spans="3:8">
      <c r="C1526" s="54" t="s">
        <v>38</v>
      </c>
      <c r="D1526" s="55" t="s">
        <v>39</v>
      </c>
      <c r="E1526" s="56"/>
      <c r="F1526" s="57"/>
      <c r="G1526" s="58"/>
      <c r="H1526" s="58"/>
    </row>
    <row r="1527" spans="3:8">
      <c r="C1527" s="39"/>
      <c r="D1527" s="76"/>
      <c r="E1527" s="39"/>
      <c r="F1527" s="40"/>
      <c r="G1527" s="62">
        <v>0</v>
      </c>
      <c r="H1527" s="61">
        <v>0</v>
      </c>
    </row>
    <row r="1528" spans="3:8">
      <c r="C1528" s="39"/>
      <c r="D1528" s="76"/>
      <c r="E1528" s="39"/>
      <c r="F1528" s="116"/>
      <c r="G1528" s="47">
        <v>0</v>
      </c>
      <c r="H1528" s="61">
        <v>0</v>
      </c>
    </row>
    <row r="1529" spans="3:8">
      <c r="C1529" s="39"/>
      <c r="D1529" s="76"/>
      <c r="E1529" s="39"/>
      <c r="F1529" s="120"/>
      <c r="G1529" s="47">
        <v>0</v>
      </c>
      <c r="H1529" s="61">
        <v>0</v>
      </c>
    </row>
    <row r="1530" spans="3:8">
      <c r="C1530" s="39"/>
      <c r="D1530" s="76"/>
      <c r="E1530" s="39"/>
      <c r="F1530" s="40"/>
      <c r="G1530" s="47">
        <v>0</v>
      </c>
      <c r="H1530" s="61">
        <v>0</v>
      </c>
    </row>
    <row r="1531" spans="3:8">
      <c r="C1531" s="39"/>
      <c r="D1531" s="74"/>
      <c r="E1531" s="39"/>
      <c r="F1531" s="40"/>
      <c r="G1531" s="47">
        <v>0</v>
      </c>
      <c r="H1531" s="61">
        <v>0</v>
      </c>
    </row>
    <row r="1532" spans="3:8">
      <c r="C1532" s="39"/>
      <c r="D1532" s="76"/>
      <c r="E1532" s="39"/>
      <c r="F1532" s="40"/>
      <c r="G1532" s="47">
        <v>0</v>
      </c>
      <c r="H1532" s="61">
        <v>0</v>
      </c>
    </row>
    <row r="1533" spans="3:8">
      <c r="C1533" s="39"/>
      <c r="D1533" s="76"/>
      <c r="E1533" s="39"/>
      <c r="F1533" s="40"/>
      <c r="G1533" s="62">
        <v>0</v>
      </c>
      <c r="H1533" s="61">
        <v>0</v>
      </c>
    </row>
    <row r="1534" spans="3:8">
      <c r="C1534" s="39"/>
      <c r="D1534" s="44"/>
      <c r="E1534" s="39"/>
      <c r="F1534" s="49"/>
      <c r="G1534" s="47">
        <v>0</v>
      </c>
      <c r="H1534" s="61">
        <v>0</v>
      </c>
    </row>
    <row r="1535" spans="3:8">
      <c r="C1535" s="51" t="s">
        <v>40</v>
      </c>
      <c r="D1535" s="51"/>
      <c r="E1535" s="51"/>
      <c r="F1535" s="52"/>
      <c r="G1535" s="51"/>
      <c r="H1535" s="53">
        <v>0</v>
      </c>
    </row>
    <row r="1536" spans="3:8">
      <c r="C1536" s="54" t="s">
        <v>41</v>
      </c>
      <c r="D1536" s="55" t="s">
        <v>42</v>
      </c>
      <c r="E1536" s="56"/>
      <c r="F1536" s="63"/>
      <c r="G1536" s="64"/>
      <c r="H1536" s="64">
        <v>0</v>
      </c>
    </row>
    <row r="1537" spans="3:8" ht="30">
      <c r="C1537" s="45" t="s">
        <v>77</v>
      </c>
      <c r="D1537" s="99" t="s">
        <v>256</v>
      </c>
      <c r="E1537" s="45" t="s">
        <v>220</v>
      </c>
      <c r="F1537" s="40">
        <v>1</v>
      </c>
      <c r="G1537" s="50">
        <v>1146.59025</v>
      </c>
      <c r="H1537" s="50">
        <v>1146.59025</v>
      </c>
    </row>
    <row r="1538" spans="3:8">
      <c r="C1538" s="45" t="s">
        <v>77</v>
      </c>
      <c r="D1538" s="65" t="s">
        <v>244</v>
      </c>
      <c r="E1538" s="45" t="s">
        <v>28</v>
      </c>
      <c r="F1538" s="40">
        <v>1</v>
      </c>
      <c r="G1538" s="50">
        <v>573.29512499999998</v>
      </c>
      <c r="H1538" s="50">
        <v>573.29512499999998</v>
      </c>
    </row>
    <row r="1539" spans="3:8">
      <c r="C1539" s="45"/>
      <c r="D1539" s="65"/>
      <c r="E1539" s="45"/>
      <c r="F1539" s="40"/>
      <c r="G1539" s="50">
        <v>0</v>
      </c>
      <c r="H1539" s="61">
        <v>0</v>
      </c>
    </row>
    <row r="1540" spans="3:8">
      <c r="C1540" s="45"/>
      <c r="D1540" s="65"/>
      <c r="E1540" s="45"/>
      <c r="F1540" s="40"/>
      <c r="G1540" s="50">
        <v>0</v>
      </c>
      <c r="H1540" s="61">
        <v>0</v>
      </c>
    </row>
    <row r="1541" spans="3:8">
      <c r="C1541" s="45"/>
      <c r="D1541" s="65"/>
      <c r="E1541" s="45"/>
      <c r="F1541" s="40"/>
      <c r="G1541" s="50">
        <v>0</v>
      </c>
      <c r="H1541" s="61">
        <v>0</v>
      </c>
    </row>
    <row r="1542" spans="3:8">
      <c r="C1542" s="45"/>
      <c r="D1542" s="65"/>
      <c r="E1542" s="45"/>
      <c r="F1542" s="40"/>
      <c r="G1542" s="50">
        <v>0</v>
      </c>
      <c r="H1542" s="61">
        <v>0</v>
      </c>
    </row>
    <row r="1543" spans="3:8">
      <c r="C1543" s="45"/>
      <c r="D1543" s="65"/>
      <c r="E1543" s="45"/>
      <c r="F1543" s="40"/>
      <c r="G1543" s="50">
        <v>0</v>
      </c>
      <c r="H1543" s="61">
        <v>0</v>
      </c>
    </row>
    <row r="1544" spans="3:8">
      <c r="C1544" s="45"/>
      <c r="D1544" s="65"/>
      <c r="E1544" s="45"/>
      <c r="F1544" s="40"/>
      <c r="G1544" s="50">
        <v>0</v>
      </c>
      <c r="H1544" s="61">
        <v>0</v>
      </c>
    </row>
    <row r="1545" spans="3:8">
      <c r="C1545" s="51" t="s">
        <v>43</v>
      </c>
      <c r="D1545" s="51"/>
      <c r="E1545" s="51"/>
      <c r="F1545" s="52"/>
      <c r="G1545" s="51"/>
      <c r="H1545" s="53">
        <v>1719.8853750000001</v>
      </c>
    </row>
    <row r="1546" spans="3:8" ht="15.75">
      <c r="C1546" s="66" t="s">
        <v>44</v>
      </c>
      <c r="D1546" s="67"/>
      <c r="E1546" s="67"/>
      <c r="F1546" s="68"/>
      <c r="G1546" s="69"/>
      <c r="H1546" s="53">
        <v>1719.8853750000001</v>
      </c>
    </row>
    <row r="1547" spans="3:8" ht="15.75">
      <c r="C1547" s="66" t="s">
        <v>45</v>
      </c>
      <c r="D1547" s="67"/>
      <c r="E1547" s="67"/>
      <c r="F1547" s="68"/>
      <c r="G1547" s="69"/>
      <c r="H1547" s="70">
        <v>423.696221978984</v>
      </c>
    </row>
    <row r="1548" spans="3:8" ht="15.75">
      <c r="C1548" s="66" t="s">
        <v>46</v>
      </c>
      <c r="D1548" s="67"/>
      <c r="E1548" s="67"/>
      <c r="F1548" s="68"/>
      <c r="G1548" s="69"/>
      <c r="H1548" s="53">
        <v>2143.58</v>
      </c>
    </row>
    <row r="1549" spans="3:8" ht="15.75">
      <c r="C1549" s="110"/>
      <c r="D1549" s="110"/>
      <c r="E1549" s="110"/>
      <c r="F1549" s="111"/>
      <c r="G1549" s="110"/>
      <c r="H1549" s="112"/>
    </row>
    <row r="1550" spans="3:8" ht="30">
      <c r="C1550" s="22" t="s">
        <v>23</v>
      </c>
      <c r="D1550" s="23" t="s">
        <v>257</v>
      </c>
      <c r="E1550" s="23"/>
      <c r="F1550" s="24"/>
      <c r="G1550" s="25"/>
      <c r="H1550" s="26"/>
    </row>
    <row r="1551" spans="3:8">
      <c r="C1551" s="27" t="s">
        <v>25</v>
      </c>
      <c r="D1551" s="28" t="s">
        <v>258</v>
      </c>
      <c r="E1551" s="29"/>
      <c r="F1551" s="30" t="s">
        <v>27</v>
      </c>
      <c r="G1551" s="31" t="s">
        <v>199</v>
      </c>
      <c r="H1551" s="32">
        <v>3982.88</v>
      </c>
    </row>
    <row r="1552" spans="3:8">
      <c r="C1552" s="33" t="s">
        <v>29</v>
      </c>
      <c r="D1552" s="33" t="s">
        <v>30</v>
      </c>
      <c r="E1552" s="33" t="s">
        <v>31</v>
      </c>
      <c r="F1552" s="34" t="s">
        <v>32</v>
      </c>
      <c r="G1552" s="35" t="s">
        <v>33</v>
      </c>
      <c r="H1552" s="35" t="s">
        <v>34</v>
      </c>
    </row>
    <row r="1553" spans="3:8">
      <c r="C1553" s="33"/>
      <c r="D1553" s="33"/>
      <c r="E1553" s="33"/>
      <c r="F1553" s="34"/>
      <c r="G1553" s="36"/>
      <c r="H1553" s="36"/>
    </row>
    <row r="1554" spans="3:8">
      <c r="C1554" s="37" t="s">
        <v>35</v>
      </c>
      <c r="D1554" s="38" t="s">
        <v>36</v>
      </c>
      <c r="E1554" s="39"/>
      <c r="F1554" s="40"/>
      <c r="G1554" s="41"/>
      <c r="H1554" s="42"/>
    </row>
    <row r="1555" spans="3:8">
      <c r="C1555" s="39"/>
      <c r="D1555" s="71"/>
      <c r="E1555" s="39"/>
      <c r="F1555" s="60"/>
      <c r="G1555" s="50">
        <v>0</v>
      </c>
      <c r="H1555" s="47">
        <v>0</v>
      </c>
    </row>
    <row r="1556" spans="3:8">
      <c r="C1556" s="39"/>
      <c r="D1556" s="65"/>
      <c r="E1556" s="39"/>
      <c r="F1556" s="60"/>
      <c r="G1556" s="46">
        <v>0</v>
      </c>
      <c r="H1556" s="47">
        <v>0</v>
      </c>
    </row>
    <row r="1557" spans="3:8">
      <c r="C1557" s="39"/>
      <c r="D1557" s="65"/>
      <c r="E1557" s="39"/>
      <c r="F1557" s="60"/>
      <c r="G1557" s="46">
        <v>0</v>
      </c>
      <c r="H1557" s="47">
        <v>0</v>
      </c>
    </row>
    <row r="1558" spans="3:8">
      <c r="C1558" s="39"/>
      <c r="D1558" s="65"/>
      <c r="E1558" s="39"/>
      <c r="F1558" s="60"/>
      <c r="G1558" s="46">
        <v>0</v>
      </c>
      <c r="H1558" s="47">
        <v>0</v>
      </c>
    </row>
    <row r="1559" spans="3:8">
      <c r="C1559" s="39"/>
      <c r="D1559" s="65"/>
      <c r="E1559" s="108"/>
      <c r="F1559" s="60"/>
      <c r="G1559" s="46">
        <v>0</v>
      </c>
      <c r="H1559" s="47">
        <v>0</v>
      </c>
    </row>
    <row r="1560" spans="3:8">
      <c r="C1560" s="39"/>
      <c r="D1560" s="65"/>
      <c r="E1560" s="39"/>
      <c r="F1560" s="60"/>
      <c r="G1560" s="46">
        <v>0</v>
      </c>
      <c r="H1560" s="47">
        <v>0</v>
      </c>
    </row>
    <row r="1561" spans="3:8">
      <c r="C1561" s="43"/>
      <c r="D1561" s="65"/>
      <c r="E1561" s="39"/>
      <c r="F1561" s="60"/>
      <c r="G1561" s="46">
        <v>0</v>
      </c>
      <c r="H1561" s="47">
        <v>0</v>
      </c>
    </row>
    <row r="1562" spans="3:8">
      <c r="C1562" s="43"/>
      <c r="D1562" s="65"/>
      <c r="E1562" s="39"/>
      <c r="F1562" s="75"/>
      <c r="G1562" s="46">
        <v>0</v>
      </c>
      <c r="H1562" s="47">
        <v>0</v>
      </c>
    </row>
    <row r="1563" spans="3:8">
      <c r="C1563" s="51" t="s">
        <v>37</v>
      </c>
      <c r="D1563" s="51"/>
      <c r="E1563" s="51"/>
      <c r="F1563" s="52"/>
      <c r="G1563" s="51"/>
      <c r="H1563" s="53">
        <v>0</v>
      </c>
    </row>
    <row r="1564" spans="3:8">
      <c r="C1564" s="54" t="s">
        <v>38</v>
      </c>
      <c r="D1564" s="55" t="s">
        <v>39</v>
      </c>
      <c r="E1564" s="56"/>
      <c r="F1564" s="57"/>
      <c r="G1564" s="58"/>
      <c r="H1564" s="58"/>
    </row>
    <row r="1565" spans="3:8">
      <c r="C1565" s="39"/>
      <c r="D1565" s="44"/>
      <c r="E1565" s="39"/>
      <c r="F1565" s="40"/>
      <c r="G1565" s="47">
        <v>0</v>
      </c>
      <c r="H1565" s="61">
        <v>0</v>
      </c>
    </row>
    <row r="1566" spans="3:8">
      <c r="C1566" s="39"/>
      <c r="D1566" s="76"/>
      <c r="E1566" s="39"/>
      <c r="F1566" s="40"/>
      <c r="G1566" s="47">
        <v>0</v>
      </c>
      <c r="H1566" s="61">
        <v>0</v>
      </c>
    </row>
    <row r="1567" spans="3:8">
      <c r="C1567" s="39"/>
      <c r="D1567" s="76"/>
      <c r="E1567" s="39"/>
      <c r="F1567" s="40"/>
      <c r="G1567" s="47">
        <v>0</v>
      </c>
      <c r="H1567" s="61">
        <v>0</v>
      </c>
    </row>
    <row r="1568" spans="3:8">
      <c r="C1568" s="39"/>
      <c r="D1568" s="76"/>
      <c r="E1568" s="39"/>
      <c r="F1568" s="40"/>
      <c r="G1568" s="47">
        <v>0</v>
      </c>
      <c r="H1568" s="61">
        <v>0</v>
      </c>
    </row>
    <row r="1569" spans="3:8">
      <c r="C1569" s="39"/>
      <c r="D1569" s="76"/>
      <c r="E1569" s="39"/>
      <c r="F1569" s="40"/>
      <c r="G1569" s="47">
        <v>0</v>
      </c>
      <c r="H1569" s="61">
        <v>0</v>
      </c>
    </row>
    <row r="1570" spans="3:8">
      <c r="C1570" s="39"/>
      <c r="D1570" s="76"/>
      <c r="E1570" s="39"/>
      <c r="F1570" s="40"/>
      <c r="G1570" s="47">
        <v>0</v>
      </c>
      <c r="H1570" s="61">
        <v>0</v>
      </c>
    </row>
    <row r="1571" spans="3:8">
      <c r="C1571" s="39"/>
      <c r="D1571" s="76"/>
      <c r="E1571" s="39"/>
      <c r="F1571" s="40"/>
      <c r="G1571" s="62">
        <v>0</v>
      </c>
      <c r="H1571" s="61">
        <v>0</v>
      </c>
    </row>
    <row r="1572" spans="3:8">
      <c r="C1572" s="39"/>
      <c r="D1572" s="44"/>
      <c r="E1572" s="39"/>
      <c r="F1572" s="49"/>
      <c r="G1572" s="47">
        <v>0</v>
      </c>
      <c r="H1572" s="61">
        <v>0</v>
      </c>
    </row>
    <row r="1573" spans="3:8">
      <c r="C1573" s="51" t="s">
        <v>40</v>
      </c>
      <c r="D1573" s="51"/>
      <c r="E1573" s="51"/>
      <c r="F1573" s="52"/>
      <c r="G1573" s="51"/>
      <c r="H1573" s="53">
        <v>0</v>
      </c>
    </row>
    <row r="1574" spans="3:8">
      <c r="C1574" s="54" t="s">
        <v>41</v>
      </c>
      <c r="D1574" s="55" t="s">
        <v>42</v>
      </c>
      <c r="E1574" s="56"/>
      <c r="F1574" s="63"/>
      <c r="G1574" s="64"/>
      <c r="H1574" s="64">
        <v>0</v>
      </c>
    </row>
    <row r="1575" spans="3:8" ht="30">
      <c r="C1575" s="45" t="s">
        <v>77</v>
      </c>
      <c r="D1575" s="99" t="s">
        <v>259</v>
      </c>
      <c r="E1575" s="45" t="s">
        <v>220</v>
      </c>
      <c r="F1575" s="40">
        <v>1</v>
      </c>
      <c r="G1575" s="50">
        <v>2130.4198500000002</v>
      </c>
      <c r="H1575" s="50">
        <v>2130.4198500000002</v>
      </c>
    </row>
    <row r="1576" spans="3:8">
      <c r="C1576" s="45" t="s">
        <v>77</v>
      </c>
      <c r="D1576" s="65" t="s">
        <v>244</v>
      </c>
      <c r="E1576" s="45" t="s">
        <v>28</v>
      </c>
      <c r="F1576" s="40">
        <v>1</v>
      </c>
      <c r="G1576" s="50">
        <v>1065.2099250000001</v>
      </c>
      <c r="H1576" s="50">
        <v>1065.2099250000001</v>
      </c>
    </row>
    <row r="1577" spans="3:8">
      <c r="C1577" s="45"/>
      <c r="D1577" s="65"/>
      <c r="E1577" s="45"/>
      <c r="F1577" s="40"/>
      <c r="G1577" s="50">
        <v>0</v>
      </c>
      <c r="H1577" s="61">
        <v>0</v>
      </c>
    </row>
    <row r="1578" spans="3:8">
      <c r="C1578" s="45"/>
      <c r="D1578" s="65"/>
      <c r="E1578" s="45"/>
      <c r="F1578" s="40"/>
      <c r="G1578" s="50">
        <v>0</v>
      </c>
      <c r="H1578" s="61">
        <v>0</v>
      </c>
    </row>
    <row r="1579" spans="3:8">
      <c r="C1579" s="45"/>
      <c r="D1579" s="65"/>
      <c r="E1579" s="45"/>
      <c r="F1579" s="40"/>
      <c r="G1579" s="50">
        <v>0</v>
      </c>
      <c r="H1579" s="61">
        <v>0</v>
      </c>
    </row>
    <row r="1580" spans="3:8">
      <c r="C1580" s="45"/>
      <c r="D1580" s="65"/>
      <c r="E1580" s="45"/>
      <c r="F1580" s="40"/>
      <c r="G1580" s="50">
        <v>0</v>
      </c>
      <c r="H1580" s="61">
        <v>0</v>
      </c>
    </row>
    <row r="1581" spans="3:8">
      <c r="C1581" s="45"/>
      <c r="D1581" s="65"/>
      <c r="E1581" s="45"/>
      <c r="F1581" s="40"/>
      <c r="G1581" s="50">
        <v>0</v>
      </c>
      <c r="H1581" s="61">
        <v>0</v>
      </c>
    </row>
    <row r="1582" spans="3:8">
      <c r="C1582" s="45"/>
      <c r="D1582" s="65"/>
      <c r="E1582" s="45"/>
      <c r="F1582" s="40"/>
      <c r="G1582" s="50">
        <v>0</v>
      </c>
      <c r="H1582" s="61">
        <v>0</v>
      </c>
    </row>
    <row r="1583" spans="3:8">
      <c r="C1583" s="51" t="s">
        <v>43</v>
      </c>
      <c r="D1583" s="51"/>
      <c r="E1583" s="51"/>
      <c r="F1583" s="52"/>
      <c r="G1583" s="51"/>
      <c r="H1583" s="53">
        <v>3195.6297749999999</v>
      </c>
    </row>
    <row r="1584" spans="3:8" ht="15.75">
      <c r="C1584" s="66" t="s">
        <v>44</v>
      </c>
      <c r="D1584" s="67"/>
      <c r="E1584" s="67"/>
      <c r="F1584" s="68"/>
      <c r="G1584" s="69"/>
      <c r="H1584" s="53">
        <v>3195.6297749999999</v>
      </c>
    </row>
    <row r="1585" spans="3:8" ht="15.75">
      <c r="C1585" s="66" t="s">
        <v>45</v>
      </c>
      <c r="D1585" s="67"/>
      <c r="E1585" s="67"/>
      <c r="F1585" s="68"/>
      <c r="G1585" s="69"/>
      <c r="H1585" s="70">
        <v>787.24796558668902</v>
      </c>
    </row>
    <row r="1586" spans="3:8" ht="15.75">
      <c r="C1586" s="66" t="s">
        <v>46</v>
      </c>
      <c r="D1586" s="67"/>
      <c r="E1586" s="67"/>
      <c r="F1586" s="68"/>
      <c r="G1586" s="69"/>
      <c r="H1586" s="53">
        <v>3982.88</v>
      </c>
    </row>
    <row r="1587" spans="3:8" ht="15.75">
      <c r="C1587" s="110"/>
      <c r="D1587" s="110"/>
      <c r="E1587" s="110"/>
      <c r="F1587" s="111"/>
      <c r="G1587" s="110"/>
      <c r="H1587" s="112"/>
    </row>
    <row r="1588" spans="3:8" ht="30">
      <c r="C1588" s="22" t="s">
        <v>23</v>
      </c>
      <c r="D1588" s="23" t="s">
        <v>260</v>
      </c>
      <c r="E1588" s="23"/>
      <c r="F1588" s="24"/>
      <c r="G1588" s="25"/>
      <c r="H1588" s="26"/>
    </row>
    <row r="1589" spans="3:8">
      <c r="C1589" s="27" t="s">
        <v>25</v>
      </c>
      <c r="D1589" s="28" t="s">
        <v>261</v>
      </c>
      <c r="E1589" s="29"/>
      <c r="F1589" s="30" t="s">
        <v>27</v>
      </c>
      <c r="G1589" s="31" t="s">
        <v>128</v>
      </c>
      <c r="H1589" s="32">
        <v>44707.97</v>
      </c>
    </row>
    <row r="1590" spans="3:8">
      <c r="C1590" s="33" t="s">
        <v>29</v>
      </c>
      <c r="D1590" s="33" t="s">
        <v>30</v>
      </c>
      <c r="E1590" s="33" t="s">
        <v>31</v>
      </c>
      <c r="F1590" s="34" t="s">
        <v>32</v>
      </c>
      <c r="G1590" s="35" t="s">
        <v>33</v>
      </c>
      <c r="H1590" s="35" t="s">
        <v>34</v>
      </c>
    </row>
    <row r="1591" spans="3:8">
      <c r="C1591" s="33"/>
      <c r="D1591" s="33"/>
      <c r="E1591" s="33"/>
      <c r="F1591" s="34"/>
      <c r="G1591" s="36"/>
      <c r="H1591" s="36"/>
    </row>
    <row r="1592" spans="3:8">
      <c r="C1592" s="37" t="s">
        <v>35</v>
      </c>
      <c r="D1592" s="38" t="s">
        <v>36</v>
      </c>
      <c r="E1592" s="39"/>
      <c r="F1592" s="40"/>
      <c r="G1592" s="41"/>
      <c r="H1592" s="42"/>
    </row>
    <row r="1593" spans="3:8">
      <c r="C1593" s="39"/>
      <c r="D1593" s="71"/>
      <c r="E1593" s="39"/>
      <c r="F1593" s="60"/>
      <c r="G1593" s="50">
        <v>0</v>
      </c>
      <c r="H1593" s="47">
        <v>0</v>
      </c>
    </row>
    <row r="1594" spans="3:8">
      <c r="C1594" s="39"/>
      <c r="D1594" s="65"/>
      <c r="E1594" s="39"/>
      <c r="F1594" s="60"/>
      <c r="G1594" s="46">
        <v>0</v>
      </c>
      <c r="H1594" s="47">
        <v>0</v>
      </c>
    </row>
    <row r="1595" spans="3:8">
      <c r="C1595" s="39"/>
      <c r="D1595" s="65"/>
      <c r="E1595" s="39"/>
      <c r="F1595" s="60"/>
      <c r="G1595" s="46">
        <v>0</v>
      </c>
      <c r="H1595" s="47">
        <v>0</v>
      </c>
    </row>
    <row r="1596" spans="3:8">
      <c r="C1596" s="39"/>
      <c r="D1596" s="65"/>
      <c r="E1596" s="39"/>
      <c r="F1596" s="60"/>
      <c r="G1596" s="46">
        <v>0</v>
      </c>
      <c r="H1596" s="47">
        <v>0</v>
      </c>
    </row>
    <row r="1597" spans="3:8">
      <c r="C1597" s="39"/>
      <c r="D1597" s="65"/>
      <c r="E1597" s="108"/>
      <c r="F1597" s="60"/>
      <c r="G1597" s="46">
        <v>0</v>
      </c>
      <c r="H1597" s="47">
        <v>0</v>
      </c>
    </row>
    <row r="1598" spans="3:8">
      <c r="C1598" s="39"/>
      <c r="D1598" s="65"/>
      <c r="E1598" s="39"/>
      <c r="F1598" s="60"/>
      <c r="G1598" s="46">
        <v>0</v>
      </c>
      <c r="H1598" s="47">
        <v>0</v>
      </c>
    </row>
    <row r="1599" spans="3:8">
      <c r="C1599" s="43"/>
      <c r="D1599" s="65"/>
      <c r="E1599" s="39"/>
      <c r="F1599" s="60"/>
      <c r="G1599" s="46">
        <v>0</v>
      </c>
      <c r="H1599" s="47">
        <v>0</v>
      </c>
    </row>
    <row r="1600" spans="3:8">
      <c r="C1600" s="43"/>
      <c r="D1600" s="65"/>
      <c r="E1600" s="39"/>
      <c r="F1600" s="75"/>
      <c r="G1600" s="46">
        <v>0</v>
      </c>
      <c r="H1600" s="47">
        <v>0</v>
      </c>
    </row>
    <row r="1601" spans="3:8">
      <c r="C1601" s="51" t="s">
        <v>37</v>
      </c>
      <c r="D1601" s="51"/>
      <c r="E1601" s="51"/>
      <c r="F1601" s="52"/>
      <c r="G1601" s="51"/>
      <c r="H1601" s="53">
        <v>0</v>
      </c>
    </row>
    <row r="1602" spans="3:8">
      <c r="C1602" s="54" t="s">
        <v>38</v>
      </c>
      <c r="D1602" s="55" t="s">
        <v>39</v>
      </c>
      <c r="E1602" s="56"/>
      <c r="F1602" s="57"/>
      <c r="G1602" s="58"/>
      <c r="H1602" s="58"/>
    </row>
    <row r="1603" spans="3:8">
      <c r="C1603" s="39"/>
      <c r="D1603" s="44"/>
      <c r="E1603" s="39"/>
      <c r="F1603" s="40"/>
      <c r="G1603" s="47">
        <v>0</v>
      </c>
      <c r="H1603" s="61">
        <v>0</v>
      </c>
    </row>
    <row r="1604" spans="3:8">
      <c r="C1604" s="39"/>
      <c r="D1604" s="76"/>
      <c r="E1604" s="39"/>
      <c r="F1604" s="40"/>
      <c r="G1604" s="47">
        <v>0</v>
      </c>
      <c r="H1604" s="61">
        <v>0</v>
      </c>
    </row>
    <row r="1605" spans="3:8">
      <c r="C1605" s="39"/>
      <c r="D1605" s="76"/>
      <c r="E1605" s="39"/>
      <c r="F1605" s="40"/>
      <c r="G1605" s="47">
        <v>0</v>
      </c>
      <c r="H1605" s="61">
        <v>0</v>
      </c>
    </row>
    <row r="1606" spans="3:8">
      <c r="C1606" s="39"/>
      <c r="D1606" s="76"/>
      <c r="E1606" s="39"/>
      <c r="F1606" s="40"/>
      <c r="G1606" s="47">
        <v>0</v>
      </c>
      <c r="H1606" s="61">
        <v>0</v>
      </c>
    </row>
    <row r="1607" spans="3:8">
      <c r="C1607" s="39"/>
      <c r="D1607" s="76"/>
      <c r="E1607" s="39"/>
      <c r="F1607" s="40"/>
      <c r="G1607" s="47">
        <v>0</v>
      </c>
      <c r="H1607" s="61">
        <v>0</v>
      </c>
    </row>
    <row r="1608" spans="3:8">
      <c r="C1608" s="39"/>
      <c r="D1608" s="76"/>
      <c r="E1608" s="39"/>
      <c r="F1608" s="40"/>
      <c r="G1608" s="47">
        <v>0</v>
      </c>
      <c r="H1608" s="61">
        <v>0</v>
      </c>
    </row>
    <row r="1609" spans="3:8">
      <c r="C1609" s="39"/>
      <c r="D1609" s="76"/>
      <c r="E1609" s="39"/>
      <c r="F1609" s="40"/>
      <c r="G1609" s="62">
        <v>0</v>
      </c>
      <c r="H1609" s="61">
        <v>0</v>
      </c>
    </row>
    <row r="1610" spans="3:8">
      <c r="C1610" s="39"/>
      <c r="D1610" s="44"/>
      <c r="E1610" s="39"/>
      <c r="F1610" s="49"/>
      <c r="G1610" s="47">
        <v>0</v>
      </c>
      <c r="H1610" s="61">
        <v>0</v>
      </c>
    </row>
    <row r="1611" spans="3:8">
      <c r="C1611" s="51" t="s">
        <v>40</v>
      </c>
      <c r="D1611" s="51"/>
      <c r="E1611" s="51"/>
      <c r="F1611" s="52"/>
      <c r="G1611" s="51"/>
      <c r="H1611" s="53">
        <v>0</v>
      </c>
    </row>
    <row r="1612" spans="3:8">
      <c r="C1612" s="54" t="s">
        <v>41</v>
      </c>
      <c r="D1612" s="55" t="s">
        <v>42</v>
      </c>
      <c r="E1612" s="56"/>
      <c r="F1612" s="63"/>
      <c r="G1612" s="64"/>
      <c r="H1612" s="64">
        <v>0</v>
      </c>
    </row>
    <row r="1613" spans="3:8">
      <c r="C1613" s="39" t="s">
        <v>77</v>
      </c>
      <c r="D1613" s="99" t="s">
        <v>262</v>
      </c>
      <c r="E1613" s="45" t="s">
        <v>128</v>
      </c>
      <c r="F1613" s="40">
        <v>1</v>
      </c>
      <c r="G1613" s="50">
        <v>35782.188807749997</v>
      </c>
      <c r="H1613" s="50">
        <v>35782.188807749997</v>
      </c>
    </row>
    <row r="1614" spans="3:8">
      <c r="C1614" s="39" t="s">
        <v>77</v>
      </c>
      <c r="D1614" s="99" t="s">
        <v>263</v>
      </c>
      <c r="E1614" s="45" t="s">
        <v>28</v>
      </c>
      <c r="F1614" s="40">
        <v>1</v>
      </c>
      <c r="G1614" s="50">
        <v>88.8888888888889</v>
      </c>
      <c r="H1614" s="50">
        <v>88.8888888888889</v>
      </c>
    </row>
    <row r="1615" spans="3:8">
      <c r="C1615" s="45"/>
      <c r="D1615" s="65"/>
      <c r="E1615" s="45"/>
      <c r="F1615" s="40"/>
      <c r="G1615" s="50">
        <v>0</v>
      </c>
      <c r="H1615" s="61">
        <v>0</v>
      </c>
    </row>
    <row r="1616" spans="3:8">
      <c r="C1616" s="45"/>
      <c r="D1616" s="65"/>
      <c r="E1616" s="45"/>
      <c r="F1616" s="40"/>
      <c r="G1616" s="50">
        <v>0</v>
      </c>
      <c r="H1616" s="61">
        <v>0</v>
      </c>
    </row>
    <row r="1617" spans="3:8">
      <c r="C1617" s="45"/>
      <c r="D1617" s="65"/>
      <c r="E1617" s="45"/>
      <c r="F1617" s="40"/>
      <c r="G1617" s="50">
        <v>0</v>
      </c>
      <c r="H1617" s="61">
        <v>0</v>
      </c>
    </row>
    <row r="1618" spans="3:8">
      <c r="C1618" s="45"/>
      <c r="D1618" s="65"/>
      <c r="E1618" s="45"/>
      <c r="F1618" s="40"/>
      <c r="G1618" s="50">
        <v>0</v>
      </c>
      <c r="H1618" s="61">
        <v>0</v>
      </c>
    </row>
    <row r="1619" spans="3:8">
      <c r="C1619" s="45"/>
      <c r="D1619" s="65"/>
      <c r="E1619" s="45"/>
      <c r="F1619" s="40"/>
      <c r="G1619" s="50">
        <v>0</v>
      </c>
      <c r="H1619" s="61">
        <v>0</v>
      </c>
    </row>
    <row r="1620" spans="3:8">
      <c r="C1620" s="45"/>
      <c r="D1620" s="65"/>
      <c r="E1620" s="45"/>
      <c r="F1620" s="40"/>
      <c r="G1620" s="50">
        <v>0</v>
      </c>
      <c r="H1620" s="61">
        <v>0</v>
      </c>
    </row>
    <row r="1621" spans="3:8">
      <c r="C1621" s="51" t="s">
        <v>43</v>
      </c>
      <c r="D1621" s="51"/>
      <c r="E1621" s="51"/>
      <c r="F1621" s="52"/>
      <c r="G1621" s="51"/>
      <c r="H1621" s="53">
        <v>35871.077696638902</v>
      </c>
    </row>
    <row r="1622" spans="3:8" ht="15.75">
      <c r="C1622" s="66" t="s">
        <v>44</v>
      </c>
      <c r="D1622" s="67"/>
      <c r="E1622" s="67"/>
      <c r="F1622" s="68"/>
      <c r="G1622" s="69"/>
      <c r="H1622" s="53">
        <v>35871.077696638902</v>
      </c>
    </row>
    <row r="1623" spans="3:8" ht="15.75">
      <c r="C1623" s="66" t="s">
        <v>45</v>
      </c>
      <c r="D1623" s="67"/>
      <c r="E1623" s="67"/>
      <c r="F1623" s="68"/>
      <c r="G1623" s="69"/>
      <c r="H1623" s="70">
        <v>8836.8912947936897</v>
      </c>
    </row>
    <row r="1624" spans="3:8" ht="15.75">
      <c r="C1624" s="66" t="s">
        <v>46</v>
      </c>
      <c r="D1624" s="67"/>
      <c r="E1624" s="67"/>
      <c r="F1624" s="68"/>
      <c r="G1624" s="69"/>
      <c r="H1624" s="53">
        <v>44707.97</v>
      </c>
    </row>
    <row r="1625" spans="3:8" ht="15.75">
      <c r="C1625" s="110"/>
      <c r="D1625" s="110"/>
      <c r="E1625" s="110"/>
      <c r="F1625" s="111"/>
      <c r="G1625" s="110"/>
      <c r="H1625" s="112"/>
    </row>
    <row r="1626" spans="3:8" ht="30">
      <c r="C1626" s="22" t="s">
        <v>23</v>
      </c>
      <c r="D1626" s="23" t="s">
        <v>264</v>
      </c>
      <c r="E1626" s="23"/>
      <c r="F1626" s="24"/>
      <c r="G1626" s="25"/>
      <c r="H1626" s="26"/>
    </row>
    <row r="1627" spans="3:8">
      <c r="C1627" s="27" t="s">
        <v>25</v>
      </c>
      <c r="D1627" s="28" t="s">
        <v>265</v>
      </c>
      <c r="E1627" s="29"/>
      <c r="F1627" s="30" t="s">
        <v>27</v>
      </c>
      <c r="G1627" s="31" t="s">
        <v>199</v>
      </c>
      <c r="H1627" s="32">
        <v>1230.17</v>
      </c>
    </row>
    <row r="1628" spans="3:8">
      <c r="C1628" s="33" t="s">
        <v>29</v>
      </c>
      <c r="D1628" s="33" t="s">
        <v>30</v>
      </c>
      <c r="E1628" s="33" t="s">
        <v>31</v>
      </c>
      <c r="F1628" s="34" t="s">
        <v>32</v>
      </c>
      <c r="G1628" s="35" t="s">
        <v>33</v>
      </c>
      <c r="H1628" s="35" t="s">
        <v>34</v>
      </c>
    </row>
    <row r="1629" spans="3:8">
      <c r="C1629" s="33"/>
      <c r="D1629" s="33"/>
      <c r="E1629" s="33"/>
      <c r="F1629" s="34"/>
      <c r="G1629" s="36"/>
      <c r="H1629" s="36"/>
    </row>
    <row r="1630" spans="3:8">
      <c r="C1630" s="37" t="s">
        <v>35</v>
      </c>
      <c r="D1630" s="38" t="s">
        <v>36</v>
      </c>
      <c r="E1630" s="39"/>
      <c r="F1630" s="40"/>
      <c r="G1630" s="41"/>
      <c r="H1630" s="42"/>
    </row>
    <row r="1631" spans="3:8">
      <c r="C1631" s="39" t="s">
        <v>129</v>
      </c>
      <c r="D1631" s="71" t="s">
        <v>200</v>
      </c>
      <c r="E1631" s="39" t="s">
        <v>51</v>
      </c>
      <c r="F1631" s="60">
        <v>3.1506787011122901</v>
      </c>
      <c r="G1631" s="46">
        <v>78.795486071171297</v>
      </c>
      <c r="H1631" s="47">
        <v>248.25925970822999</v>
      </c>
    </row>
    <row r="1632" spans="3:8">
      <c r="C1632" s="39" t="s">
        <v>49</v>
      </c>
      <c r="D1632" s="65" t="s">
        <v>201</v>
      </c>
      <c r="E1632" s="39" t="s">
        <v>51</v>
      </c>
      <c r="F1632" s="60">
        <v>0.70888580106578203</v>
      </c>
      <c r="G1632" s="46">
        <v>45.411750977784699</v>
      </c>
      <c r="H1632" s="47">
        <v>32.191745469686701</v>
      </c>
    </row>
    <row r="1633" spans="3:8">
      <c r="C1633" s="39" t="s">
        <v>129</v>
      </c>
      <c r="D1633" s="65" t="s">
        <v>202</v>
      </c>
      <c r="E1633" s="39" t="s">
        <v>51</v>
      </c>
      <c r="F1633" s="60">
        <v>0.77946202678576604</v>
      </c>
      <c r="G1633" s="46">
        <v>72.4420787409273</v>
      </c>
      <c r="H1633" s="47">
        <v>56.465849519977198</v>
      </c>
    </row>
    <row r="1634" spans="3:8">
      <c r="C1634" s="39" t="s">
        <v>49</v>
      </c>
      <c r="D1634" s="65" t="s">
        <v>160</v>
      </c>
      <c r="E1634" s="39" t="s">
        <v>51</v>
      </c>
      <c r="F1634" s="60">
        <v>0.60896746129230495</v>
      </c>
      <c r="G1634" s="46">
        <v>74.717676591289106</v>
      </c>
      <c r="H1634" s="47">
        <v>45.500633827456802</v>
      </c>
    </row>
    <row r="1635" spans="3:8">
      <c r="C1635" s="39" t="s">
        <v>129</v>
      </c>
      <c r="D1635" s="65" t="s">
        <v>203</v>
      </c>
      <c r="E1635" s="108" t="s">
        <v>51</v>
      </c>
      <c r="F1635" s="60">
        <v>4.2573537237309003</v>
      </c>
      <c r="G1635" s="46">
        <v>106.731710416406</v>
      </c>
      <c r="H1635" s="47">
        <v>454.394644781453</v>
      </c>
    </row>
    <row r="1636" spans="3:8">
      <c r="C1636" s="39"/>
      <c r="D1636" s="65"/>
      <c r="E1636" s="39"/>
      <c r="F1636" s="60"/>
      <c r="G1636" s="46">
        <v>0</v>
      </c>
      <c r="H1636" s="47">
        <v>0</v>
      </c>
    </row>
    <row r="1637" spans="3:8">
      <c r="C1637" s="43"/>
      <c r="D1637" s="65"/>
      <c r="E1637" s="39"/>
      <c r="F1637" s="60"/>
      <c r="G1637" s="46">
        <v>0</v>
      </c>
      <c r="H1637" s="47">
        <v>0</v>
      </c>
    </row>
    <row r="1638" spans="3:8">
      <c r="C1638" s="43"/>
      <c r="D1638" s="65"/>
      <c r="E1638" s="39"/>
      <c r="F1638" s="75"/>
      <c r="G1638" s="46">
        <v>0</v>
      </c>
      <c r="H1638" s="47">
        <v>0</v>
      </c>
    </row>
    <row r="1639" spans="3:8">
      <c r="C1639" s="51" t="s">
        <v>37</v>
      </c>
      <c r="D1639" s="51"/>
      <c r="E1639" s="51"/>
      <c r="F1639" s="52"/>
      <c r="G1639" s="51"/>
      <c r="H1639" s="53">
        <v>836.81213330680305</v>
      </c>
    </row>
    <row r="1640" spans="3:8">
      <c r="C1640" s="54" t="s">
        <v>38</v>
      </c>
      <c r="D1640" s="55" t="s">
        <v>39</v>
      </c>
      <c r="E1640" s="56"/>
      <c r="F1640" s="57"/>
      <c r="G1640" s="58"/>
      <c r="H1640" s="58"/>
    </row>
    <row r="1641" spans="3:8">
      <c r="C1641" s="39" t="s">
        <v>53</v>
      </c>
      <c r="D1641" s="76" t="s">
        <v>136</v>
      </c>
      <c r="E1641" s="39" t="s">
        <v>28</v>
      </c>
      <c r="F1641" s="105">
        <v>0.48749999999999999</v>
      </c>
      <c r="G1641" s="62">
        <v>58.576849331476197</v>
      </c>
      <c r="H1641" s="61">
        <v>28.556214049094699</v>
      </c>
    </row>
    <row r="1642" spans="3:8">
      <c r="C1642" s="39"/>
      <c r="D1642" s="76"/>
      <c r="E1642" s="39"/>
      <c r="F1642" s="40"/>
      <c r="G1642" s="47">
        <v>0</v>
      </c>
      <c r="H1642" s="61">
        <v>0</v>
      </c>
    </row>
    <row r="1643" spans="3:8">
      <c r="C1643" s="39"/>
      <c r="D1643" s="76"/>
      <c r="E1643" s="39"/>
      <c r="F1643" s="40"/>
      <c r="G1643" s="47">
        <v>0</v>
      </c>
      <c r="H1643" s="61">
        <v>0</v>
      </c>
    </row>
    <row r="1644" spans="3:8">
      <c r="C1644" s="39"/>
      <c r="D1644" s="76"/>
      <c r="E1644" s="39"/>
      <c r="F1644" s="40"/>
      <c r="G1644" s="47">
        <v>0</v>
      </c>
      <c r="H1644" s="61">
        <v>0</v>
      </c>
    </row>
    <row r="1645" spans="3:8">
      <c r="C1645" s="39"/>
      <c r="D1645" s="76"/>
      <c r="E1645" s="39"/>
      <c r="F1645" s="40"/>
      <c r="G1645" s="47">
        <v>0</v>
      </c>
      <c r="H1645" s="61">
        <v>0</v>
      </c>
    </row>
    <row r="1646" spans="3:8">
      <c r="C1646" s="39"/>
      <c r="D1646" s="76"/>
      <c r="E1646" s="39"/>
      <c r="F1646" s="40"/>
      <c r="G1646" s="47">
        <v>0</v>
      </c>
      <c r="H1646" s="61">
        <v>0</v>
      </c>
    </row>
    <row r="1647" spans="3:8">
      <c r="C1647" s="39"/>
      <c r="D1647" s="76"/>
      <c r="E1647" s="39"/>
      <c r="F1647" s="40"/>
      <c r="G1647" s="62">
        <v>0</v>
      </c>
      <c r="H1647" s="61">
        <v>0</v>
      </c>
    </row>
    <row r="1648" spans="3:8">
      <c r="C1648" s="39"/>
      <c r="D1648" s="44"/>
      <c r="E1648" s="39"/>
      <c r="F1648" s="49"/>
      <c r="G1648" s="47">
        <v>0</v>
      </c>
      <c r="H1648" s="61">
        <v>0</v>
      </c>
    </row>
    <row r="1649" spans="3:8">
      <c r="C1649" s="51" t="s">
        <v>40</v>
      </c>
      <c r="D1649" s="51"/>
      <c r="E1649" s="51"/>
      <c r="F1649" s="52"/>
      <c r="G1649" s="51"/>
      <c r="H1649" s="53">
        <v>28.556214049094699</v>
      </c>
    </row>
    <row r="1650" spans="3:8">
      <c r="C1650" s="54" t="s">
        <v>41</v>
      </c>
      <c r="D1650" s="55" t="s">
        <v>42</v>
      </c>
      <c r="E1650" s="56"/>
      <c r="F1650" s="63"/>
      <c r="G1650" s="64"/>
      <c r="H1650" s="64">
        <v>0</v>
      </c>
    </row>
    <row r="1651" spans="3:8">
      <c r="C1651" s="39" t="s">
        <v>77</v>
      </c>
      <c r="D1651" s="65" t="s">
        <v>204</v>
      </c>
      <c r="E1651" s="45" t="s">
        <v>28</v>
      </c>
      <c r="F1651" s="40">
        <v>1</v>
      </c>
      <c r="G1651" s="50">
        <v>57.421783657069497</v>
      </c>
      <c r="H1651" s="50">
        <v>57.421783657069497</v>
      </c>
    </row>
    <row r="1652" spans="3:8">
      <c r="C1652" s="39" t="s">
        <v>77</v>
      </c>
      <c r="D1652" s="99" t="s">
        <v>205</v>
      </c>
      <c r="E1652" s="45" t="s">
        <v>55</v>
      </c>
      <c r="F1652" s="40">
        <v>1</v>
      </c>
      <c r="G1652" s="50">
        <v>64.228437968658596</v>
      </c>
      <c r="H1652" s="50">
        <v>64.228437968658596</v>
      </c>
    </row>
    <row r="1653" spans="3:8">
      <c r="C1653" s="45"/>
      <c r="D1653" s="65"/>
      <c r="E1653" s="45"/>
      <c r="F1653" s="40"/>
      <c r="G1653" s="50">
        <v>0</v>
      </c>
      <c r="H1653" s="61">
        <v>0</v>
      </c>
    </row>
    <row r="1654" spans="3:8">
      <c r="C1654" s="45"/>
      <c r="D1654" s="65"/>
      <c r="E1654" s="45"/>
      <c r="F1654" s="40"/>
      <c r="G1654" s="50">
        <v>0</v>
      </c>
      <c r="H1654" s="61">
        <v>0</v>
      </c>
    </row>
    <row r="1655" spans="3:8">
      <c r="C1655" s="45"/>
      <c r="D1655" s="65"/>
      <c r="E1655" s="45"/>
      <c r="F1655" s="40"/>
      <c r="G1655" s="50">
        <v>0</v>
      </c>
      <c r="H1655" s="61">
        <v>0</v>
      </c>
    </row>
    <row r="1656" spans="3:8">
      <c r="C1656" s="45"/>
      <c r="D1656" s="65"/>
      <c r="E1656" s="45"/>
      <c r="F1656" s="40"/>
      <c r="G1656" s="50">
        <v>0</v>
      </c>
      <c r="H1656" s="61">
        <v>0</v>
      </c>
    </row>
    <row r="1657" spans="3:8">
      <c r="C1657" s="45"/>
      <c r="D1657" s="65"/>
      <c r="E1657" s="45"/>
      <c r="F1657" s="40"/>
      <c r="G1657" s="50">
        <v>0</v>
      </c>
      <c r="H1657" s="61">
        <v>0</v>
      </c>
    </row>
    <row r="1658" spans="3:8">
      <c r="C1658" s="45"/>
      <c r="D1658" s="65"/>
      <c r="E1658" s="45"/>
      <c r="F1658" s="40"/>
      <c r="G1658" s="50">
        <v>0</v>
      </c>
      <c r="H1658" s="61">
        <v>0</v>
      </c>
    </row>
    <row r="1659" spans="3:8">
      <c r="C1659" s="51" t="s">
        <v>43</v>
      </c>
      <c r="D1659" s="51"/>
      <c r="E1659" s="51"/>
      <c r="F1659" s="52"/>
      <c r="G1659" s="51"/>
      <c r="H1659" s="53">
        <v>121.65022162572799</v>
      </c>
    </row>
    <row r="1660" spans="3:8" ht="15.75">
      <c r="C1660" s="66" t="s">
        <v>44</v>
      </c>
      <c r="D1660" s="67"/>
      <c r="E1660" s="67"/>
      <c r="F1660" s="68"/>
      <c r="G1660" s="69"/>
      <c r="H1660" s="53">
        <v>987.018568981626</v>
      </c>
    </row>
    <row r="1661" spans="3:8" ht="15.75">
      <c r="C1661" s="66" t="s">
        <v>45</v>
      </c>
      <c r="D1661" s="67"/>
      <c r="E1661" s="67"/>
      <c r="F1661" s="68"/>
      <c r="G1661" s="69"/>
      <c r="H1661" s="70">
        <v>243.15343614141599</v>
      </c>
    </row>
    <row r="1662" spans="3:8" ht="15.75">
      <c r="C1662" s="66" t="s">
        <v>46</v>
      </c>
      <c r="D1662" s="67"/>
      <c r="E1662" s="67"/>
      <c r="F1662" s="68"/>
      <c r="G1662" s="69"/>
      <c r="H1662" s="53">
        <v>1230.17</v>
      </c>
    </row>
    <row r="1663" spans="3:8" ht="15.75">
      <c r="C1663" s="110"/>
      <c r="D1663" s="110"/>
      <c r="E1663" s="110"/>
      <c r="F1663" s="111"/>
      <c r="G1663" s="110"/>
      <c r="H1663" s="112"/>
    </row>
    <row r="1664" spans="3:8" ht="30">
      <c r="C1664" s="22" t="s">
        <v>23</v>
      </c>
      <c r="D1664" s="23" t="s">
        <v>266</v>
      </c>
      <c r="E1664" s="23"/>
      <c r="F1664" s="24"/>
      <c r="G1664" s="25"/>
      <c r="H1664" s="26"/>
    </row>
    <row r="1665" spans="3:8">
      <c r="C1665" s="27" t="s">
        <v>25</v>
      </c>
      <c r="D1665" s="28" t="s">
        <v>267</v>
      </c>
      <c r="E1665" s="29"/>
      <c r="F1665" s="30" t="s">
        <v>27</v>
      </c>
      <c r="G1665" s="31" t="s">
        <v>199</v>
      </c>
      <c r="H1665" s="32">
        <v>1338.03</v>
      </c>
    </row>
    <row r="1666" spans="3:8">
      <c r="C1666" s="33" t="s">
        <v>29</v>
      </c>
      <c r="D1666" s="33" t="s">
        <v>30</v>
      </c>
      <c r="E1666" s="33" t="s">
        <v>31</v>
      </c>
      <c r="F1666" s="34" t="s">
        <v>32</v>
      </c>
      <c r="G1666" s="35" t="s">
        <v>33</v>
      </c>
      <c r="H1666" s="35" t="s">
        <v>34</v>
      </c>
    </row>
    <row r="1667" spans="3:8">
      <c r="C1667" s="33"/>
      <c r="D1667" s="33"/>
      <c r="E1667" s="33"/>
      <c r="F1667" s="34"/>
      <c r="G1667" s="36"/>
      <c r="H1667" s="36"/>
    </row>
    <row r="1668" spans="3:8">
      <c r="C1668" s="37" t="s">
        <v>35</v>
      </c>
      <c r="D1668" s="38" t="s">
        <v>36</v>
      </c>
      <c r="E1668" s="39"/>
      <c r="F1668" s="40"/>
      <c r="G1668" s="41"/>
      <c r="H1668" s="42"/>
    </row>
    <row r="1669" spans="3:8">
      <c r="C1669" s="39" t="s">
        <v>129</v>
      </c>
      <c r="D1669" s="71" t="s">
        <v>200</v>
      </c>
      <c r="E1669" s="39" t="s">
        <v>51</v>
      </c>
      <c r="F1669" s="60">
        <v>3.4657465712235198</v>
      </c>
      <c r="G1669" s="50">
        <v>78.795486071171297</v>
      </c>
      <c r="H1669" s="47">
        <v>273.08518567905298</v>
      </c>
    </row>
    <row r="1670" spans="3:8">
      <c r="C1670" s="39" t="s">
        <v>49</v>
      </c>
      <c r="D1670" s="65" t="s">
        <v>201</v>
      </c>
      <c r="E1670" s="39" t="s">
        <v>51</v>
      </c>
      <c r="F1670" s="60">
        <v>0.77977438117236098</v>
      </c>
      <c r="G1670" s="46">
        <v>45.411750977784699</v>
      </c>
      <c r="H1670" s="47">
        <v>35.410920016655403</v>
      </c>
    </row>
    <row r="1671" spans="3:8">
      <c r="C1671" s="39" t="s">
        <v>129</v>
      </c>
      <c r="D1671" s="65" t="s">
        <v>202</v>
      </c>
      <c r="E1671" s="108" t="s">
        <v>51</v>
      </c>
      <c r="F1671" s="60">
        <v>0.85740822946434303</v>
      </c>
      <c r="G1671" s="46">
        <v>72.4420787409273</v>
      </c>
      <c r="H1671" s="47">
        <v>62.112434471975</v>
      </c>
    </row>
    <row r="1672" spans="3:8">
      <c r="C1672" s="39" t="s">
        <v>49</v>
      </c>
      <c r="D1672" s="65" t="s">
        <v>160</v>
      </c>
      <c r="E1672" s="39" t="s">
        <v>51</v>
      </c>
      <c r="F1672" s="60">
        <v>0.66986420742153596</v>
      </c>
      <c r="G1672" s="46">
        <v>74.717676591289106</v>
      </c>
      <c r="H1672" s="47">
        <v>50.0506972102025</v>
      </c>
    </row>
    <row r="1673" spans="3:8">
      <c r="C1673" s="39" t="s">
        <v>129</v>
      </c>
      <c r="D1673" s="65" t="s">
        <v>203</v>
      </c>
      <c r="E1673" s="39" t="s">
        <v>51</v>
      </c>
      <c r="F1673" s="60">
        <v>4.6830890961040099</v>
      </c>
      <c r="G1673" s="46">
        <v>106.731710416406</v>
      </c>
      <c r="H1673" s="47">
        <v>499.83410925959998</v>
      </c>
    </row>
    <row r="1674" spans="3:8">
      <c r="C1674" s="39"/>
      <c r="D1674" s="65"/>
      <c r="E1674" s="39"/>
      <c r="F1674" s="60"/>
      <c r="G1674" s="46">
        <v>0</v>
      </c>
      <c r="H1674" s="47">
        <v>0</v>
      </c>
    </row>
    <row r="1675" spans="3:8">
      <c r="C1675" s="43"/>
      <c r="D1675" s="65"/>
      <c r="E1675" s="39"/>
      <c r="F1675" s="60"/>
      <c r="G1675" s="46">
        <v>0</v>
      </c>
      <c r="H1675" s="47">
        <v>0</v>
      </c>
    </row>
    <row r="1676" spans="3:8">
      <c r="C1676" s="43"/>
      <c r="D1676" s="65"/>
      <c r="E1676" s="39"/>
      <c r="F1676" s="75"/>
      <c r="G1676" s="46">
        <v>0</v>
      </c>
      <c r="H1676" s="47">
        <v>0</v>
      </c>
    </row>
    <row r="1677" spans="3:8">
      <c r="C1677" s="51" t="s">
        <v>37</v>
      </c>
      <c r="D1677" s="51"/>
      <c r="E1677" s="51"/>
      <c r="F1677" s="52"/>
      <c r="G1677" s="51"/>
      <c r="H1677" s="53">
        <v>920.49334663748505</v>
      </c>
    </row>
    <row r="1678" spans="3:8">
      <c r="C1678" s="54" t="s">
        <v>38</v>
      </c>
      <c r="D1678" s="55" t="s">
        <v>39</v>
      </c>
      <c r="E1678" s="56"/>
      <c r="F1678" s="57"/>
      <c r="G1678" s="58"/>
      <c r="H1678" s="58"/>
    </row>
    <row r="1679" spans="3:8">
      <c r="C1679" s="39" t="s">
        <v>53</v>
      </c>
      <c r="D1679" s="76" t="s">
        <v>136</v>
      </c>
      <c r="E1679" s="39" t="s">
        <v>28</v>
      </c>
      <c r="F1679" s="105">
        <v>0.48749999999999999</v>
      </c>
      <c r="G1679" s="62">
        <v>64.434534264624006</v>
      </c>
      <c r="H1679" s="61">
        <v>31.411835454004201</v>
      </c>
    </row>
    <row r="1680" spans="3:8">
      <c r="C1680" s="39"/>
      <c r="D1680" s="76"/>
      <c r="E1680" s="39"/>
      <c r="F1680" s="40"/>
      <c r="G1680" s="47">
        <v>0</v>
      </c>
      <c r="H1680" s="61">
        <v>0</v>
      </c>
    </row>
    <row r="1681" spans="3:8">
      <c r="C1681" s="39"/>
      <c r="D1681" s="76"/>
      <c r="E1681" s="39"/>
      <c r="F1681" s="40"/>
      <c r="G1681" s="47">
        <v>0</v>
      </c>
      <c r="H1681" s="61">
        <v>0</v>
      </c>
    </row>
    <row r="1682" spans="3:8">
      <c r="C1682" s="39"/>
      <c r="D1682" s="76"/>
      <c r="E1682" s="39"/>
      <c r="F1682" s="40"/>
      <c r="G1682" s="47">
        <v>0</v>
      </c>
      <c r="H1682" s="61">
        <v>0</v>
      </c>
    </row>
    <row r="1683" spans="3:8">
      <c r="C1683" s="39"/>
      <c r="D1683" s="76"/>
      <c r="E1683" s="39"/>
      <c r="F1683" s="40"/>
      <c r="G1683" s="47">
        <v>0</v>
      </c>
      <c r="H1683" s="61">
        <v>0</v>
      </c>
    </row>
    <row r="1684" spans="3:8">
      <c r="C1684" s="39"/>
      <c r="D1684" s="76"/>
      <c r="E1684" s="39"/>
      <c r="F1684" s="40"/>
      <c r="G1684" s="47">
        <v>0</v>
      </c>
      <c r="H1684" s="61">
        <v>0</v>
      </c>
    </row>
    <row r="1685" spans="3:8">
      <c r="C1685" s="39"/>
      <c r="D1685" s="76"/>
      <c r="E1685" s="39"/>
      <c r="F1685" s="40"/>
      <c r="G1685" s="62">
        <v>0</v>
      </c>
      <c r="H1685" s="61">
        <v>0</v>
      </c>
    </row>
    <row r="1686" spans="3:8">
      <c r="C1686" s="39"/>
      <c r="D1686" s="44"/>
      <c r="E1686" s="39"/>
      <c r="F1686" s="49"/>
      <c r="G1686" s="47">
        <v>0</v>
      </c>
      <c r="H1686" s="61">
        <v>0</v>
      </c>
    </row>
    <row r="1687" spans="3:8">
      <c r="C1687" s="51" t="s">
        <v>40</v>
      </c>
      <c r="D1687" s="51"/>
      <c r="E1687" s="51"/>
      <c r="F1687" s="52"/>
      <c r="G1687" s="51"/>
      <c r="H1687" s="53">
        <v>31.411835454004201</v>
      </c>
    </row>
    <row r="1688" spans="3:8">
      <c r="C1688" s="54" t="s">
        <v>41</v>
      </c>
      <c r="D1688" s="55" t="s">
        <v>42</v>
      </c>
      <c r="E1688" s="56"/>
      <c r="F1688" s="63"/>
      <c r="G1688" s="64"/>
      <c r="H1688" s="64">
        <v>0</v>
      </c>
    </row>
    <row r="1689" spans="3:8">
      <c r="C1689" s="39" t="s">
        <v>77</v>
      </c>
      <c r="D1689" s="65" t="s">
        <v>204</v>
      </c>
      <c r="E1689" s="45" t="s">
        <v>28</v>
      </c>
      <c r="F1689" s="40">
        <v>1</v>
      </c>
      <c r="G1689" s="50">
        <v>57.421783657069497</v>
      </c>
      <c r="H1689" s="50">
        <v>57.421783657069497</v>
      </c>
    </row>
    <row r="1690" spans="3:8">
      <c r="C1690" s="39" t="s">
        <v>77</v>
      </c>
      <c r="D1690" s="99" t="s">
        <v>205</v>
      </c>
      <c r="E1690" s="45" t="s">
        <v>55</v>
      </c>
      <c r="F1690" s="40">
        <v>1</v>
      </c>
      <c r="G1690" s="50">
        <v>64.228437968658596</v>
      </c>
      <c r="H1690" s="50">
        <v>64.228437968658596</v>
      </c>
    </row>
    <row r="1691" spans="3:8">
      <c r="C1691" s="45"/>
      <c r="D1691" s="65"/>
      <c r="E1691" s="45"/>
      <c r="F1691" s="40"/>
      <c r="G1691" s="50">
        <v>0</v>
      </c>
      <c r="H1691" s="61">
        <v>0</v>
      </c>
    </row>
    <row r="1692" spans="3:8">
      <c r="C1692" s="45"/>
      <c r="D1692" s="65"/>
      <c r="E1692" s="45"/>
      <c r="F1692" s="40"/>
      <c r="G1692" s="50">
        <v>0</v>
      </c>
      <c r="H1692" s="61">
        <v>0</v>
      </c>
    </row>
    <row r="1693" spans="3:8">
      <c r="C1693" s="45"/>
      <c r="D1693" s="65"/>
      <c r="E1693" s="45"/>
      <c r="F1693" s="40"/>
      <c r="G1693" s="50">
        <v>0</v>
      </c>
      <c r="H1693" s="61">
        <v>0</v>
      </c>
    </row>
    <row r="1694" spans="3:8">
      <c r="C1694" s="45"/>
      <c r="D1694" s="65"/>
      <c r="E1694" s="45"/>
      <c r="F1694" s="40"/>
      <c r="G1694" s="50">
        <v>0</v>
      </c>
      <c r="H1694" s="61">
        <v>0</v>
      </c>
    </row>
    <row r="1695" spans="3:8">
      <c r="C1695" s="45"/>
      <c r="D1695" s="65"/>
      <c r="E1695" s="45"/>
      <c r="F1695" s="40"/>
      <c r="G1695" s="50">
        <v>0</v>
      </c>
      <c r="H1695" s="61">
        <v>0</v>
      </c>
    </row>
    <row r="1696" spans="3:8">
      <c r="C1696" s="45"/>
      <c r="D1696" s="65"/>
      <c r="E1696" s="45"/>
      <c r="F1696" s="40"/>
      <c r="G1696" s="50">
        <v>0</v>
      </c>
      <c r="H1696" s="61">
        <v>0</v>
      </c>
    </row>
    <row r="1697" spans="3:8">
      <c r="C1697" s="51" t="s">
        <v>43</v>
      </c>
      <c r="D1697" s="51"/>
      <c r="E1697" s="51"/>
      <c r="F1697" s="52"/>
      <c r="G1697" s="51"/>
      <c r="H1697" s="53">
        <v>121.65022162572799</v>
      </c>
    </row>
    <row r="1698" spans="3:8" ht="15.75">
      <c r="C1698" s="66" t="s">
        <v>44</v>
      </c>
      <c r="D1698" s="67"/>
      <c r="E1698" s="67"/>
      <c r="F1698" s="68"/>
      <c r="G1698" s="69"/>
      <c r="H1698" s="53">
        <v>1073.5554037172201</v>
      </c>
    </row>
    <row r="1699" spans="3:8" ht="15.75">
      <c r="C1699" s="66" t="s">
        <v>45</v>
      </c>
      <c r="D1699" s="67"/>
      <c r="E1699" s="67"/>
      <c r="F1699" s="68"/>
      <c r="G1699" s="69"/>
      <c r="H1699" s="70">
        <v>264.47190914691498</v>
      </c>
    </row>
    <row r="1700" spans="3:8" ht="15.75">
      <c r="C1700" s="66" t="s">
        <v>46</v>
      </c>
      <c r="D1700" s="67"/>
      <c r="E1700" s="67"/>
      <c r="F1700" s="68"/>
      <c r="G1700" s="69"/>
      <c r="H1700" s="53">
        <v>1338.03</v>
      </c>
    </row>
    <row r="1701" spans="3:8" ht="15.75">
      <c r="C1701" s="110"/>
      <c r="D1701" s="110"/>
      <c r="E1701" s="110"/>
      <c r="F1701" s="111"/>
      <c r="G1701" s="110"/>
      <c r="H1701" s="112"/>
    </row>
    <row r="1702" spans="3:8" ht="30">
      <c r="C1702" s="22" t="s">
        <v>23</v>
      </c>
      <c r="D1702" s="23" t="s">
        <v>268</v>
      </c>
      <c r="E1702" s="23"/>
      <c r="F1702" s="24"/>
      <c r="G1702" s="25"/>
      <c r="H1702" s="26"/>
    </row>
    <row r="1703" spans="3:8">
      <c r="C1703" s="27" t="s">
        <v>25</v>
      </c>
      <c r="D1703" s="28" t="s">
        <v>269</v>
      </c>
      <c r="E1703" s="29"/>
      <c r="F1703" s="30" t="s">
        <v>27</v>
      </c>
      <c r="G1703" s="31" t="s">
        <v>199</v>
      </c>
      <c r="H1703" s="32">
        <v>1338.03</v>
      </c>
    </row>
    <row r="1704" spans="3:8">
      <c r="C1704" s="33" t="s">
        <v>29</v>
      </c>
      <c r="D1704" s="33" t="s">
        <v>30</v>
      </c>
      <c r="E1704" s="33" t="s">
        <v>31</v>
      </c>
      <c r="F1704" s="34" t="s">
        <v>32</v>
      </c>
      <c r="G1704" s="35" t="s">
        <v>33</v>
      </c>
      <c r="H1704" s="35" t="s">
        <v>34</v>
      </c>
    </row>
    <row r="1705" spans="3:8">
      <c r="C1705" s="33"/>
      <c r="D1705" s="33"/>
      <c r="E1705" s="33"/>
      <c r="F1705" s="34"/>
      <c r="G1705" s="36"/>
      <c r="H1705" s="36"/>
    </row>
    <row r="1706" spans="3:8">
      <c r="C1706" s="37" t="s">
        <v>35</v>
      </c>
      <c r="D1706" s="38" t="s">
        <v>36</v>
      </c>
      <c r="E1706" s="39"/>
      <c r="F1706" s="40"/>
      <c r="G1706" s="41"/>
      <c r="H1706" s="42"/>
    </row>
    <row r="1707" spans="3:8">
      <c r="C1707" s="39" t="s">
        <v>129</v>
      </c>
      <c r="D1707" s="71" t="s">
        <v>200</v>
      </c>
      <c r="E1707" s="39" t="s">
        <v>51</v>
      </c>
      <c r="F1707" s="60">
        <v>3.4657465712235198</v>
      </c>
      <c r="G1707" s="50">
        <v>78.795486071171297</v>
      </c>
      <c r="H1707" s="47">
        <v>273.08518567905298</v>
      </c>
    </row>
    <row r="1708" spans="3:8">
      <c r="C1708" s="39" t="s">
        <v>49</v>
      </c>
      <c r="D1708" s="65" t="s">
        <v>201</v>
      </c>
      <c r="E1708" s="39" t="s">
        <v>51</v>
      </c>
      <c r="F1708" s="60">
        <v>0.77977438117236098</v>
      </c>
      <c r="G1708" s="46">
        <v>45.411750977784699</v>
      </c>
      <c r="H1708" s="47">
        <v>35.410920016655403</v>
      </c>
    </row>
    <row r="1709" spans="3:8">
      <c r="C1709" s="39" t="s">
        <v>129</v>
      </c>
      <c r="D1709" s="65" t="s">
        <v>202</v>
      </c>
      <c r="E1709" s="108" t="s">
        <v>51</v>
      </c>
      <c r="F1709" s="60">
        <v>0.85740822946434303</v>
      </c>
      <c r="G1709" s="46">
        <v>72.4420787409273</v>
      </c>
      <c r="H1709" s="47">
        <v>62.112434471975</v>
      </c>
    </row>
    <row r="1710" spans="3:8">
      <c r="C1710" s="39" t="s">
        <v>49</v>
      </c>
      <c r="D1710" s="65" t="s">
        <v>160</v>
      </c>
      <c r="E1710" s="39" t="s">
        <v>51</v>
      </c>
      <c r="F1710" s="60">
        <v>0.66986420742153596</v>
      </c>
      <c r="G1710" s="46">
        <v>74.717676591289106</v>
      </c>
      <c r="H1710" s="47">
        <v>50.0506972102025</v>
      </c>
    </row>
    <row r="1711" spans="3:8">
      <c r="C1711" s="39" t="s">
        <v>129</v>
      </c>
      <c r="D1711" s="65" t="s">
        <v>203</v>
      </c>
      <c r="E1711" s="39" t="s">
        <v>51</v>
      </c>
      <c r="F1711" s="60">
        <v>4.6830890961040099</v>
      </c>
      <c r="G1711" s="46">
        <v>106.731710416406</v>
      </c>
      <c r="H1711" s="47">
        <v>499.83410925959998</v>
      </c>
    </row>
    <row r="1712" spans="3:8">
      <c r="C1712" s="39"/>
      <c r="D1712" s="65"/>
      <c r="E1712" s="39"/>
      <c r="F1712" s="60"/>
      <c r="G1712" s="46">
        <v>0</v>
      </c>
      <c r="H1712" s="47">
        <v>0</v>
      </c>
    </row>
    <row r="1713" spans="3:8">
      <c r="C1713" s="43"/>
      <c r="D1713" s="65"/>
      <c r="E1713" s="39"/>
      <c r="F1713" s="60"/>
      <c r="G1713" s="46">
        <v>0</v>
      </c>
      <c r="H1713" s="47">
        <v>0</v>
      </c>
    </row>
    <row r="1714" spans="3:8">
      <c r="C1714" s="43"/>
      <c r="D1714" s="65"/>
      <c r="E1714" s="39"/>
      <c r="F1714" s="75"/>
      <c r="G1714" s="46">
        <v>0</v>
      </c>
      <c r="H1714" s="47">
        <v>0</v>
      </c>
    </row>
    <row r="1715" spans="3:8">
      <c r="C1715" s="51" t="s">
        <v>37</v>
      </c>
      <c r="D1715" s="51"/>
      <c r="E1715" s="51"/>
      <c r="F1715" s="52"/>
      <c r="G1715" s="51"/>
      <c r="H1715" s="53">
        <v>920.49334663748505</v>
      </c>
    </row>
    <row r="1716" spans="3:8">
      <c r="C1716" s="54" t="s">
        <v>38</v>
      </c>
      <c r="D1716" s="55" t="s">
        <v>39</v>
      </c>
      <c r="E1716" s="56"/>
      <c r="F1716" s="57"/>
      <c r="G1716" s="58"/>
      <c r="H1716" s="58"/>
    </row>
    <row r="1717" spans="3:8">
      <c r="C1717" s="39" t="s">
        <v>53</v>
      </c>
      <c r="D1717" s="76" t="s">
        <v>136</v>
      </c>
      <c r="E1717" s="39" t="s">
        <v>28</v>
      </c>
      <c r="F1717" s="105">
        <v>0.48749999999999999</v>
      </c>
      <c r="G1717" s="62">
        <v>64.434534264624006</v>
      </c>
      <c r="H1717" s="61">
        <v>31.411835454004201</v>
      </c>
    </row>
    <row r="1718" spans="3:8">
      <c r="C1718" s="39"/>
      <c r="D1718" s="76"/>
      <c r="E1718" s="39"/>
      <c r="F1718" s="40"/>
      <c r="G1718" s="47">
        <v>0</v>
      </c>
      <c r="H1718" s="61">
        <v>0</v>
      </c>
    </row>
    <row r="1719" spans="3:8">
      <c r="C1719" s="39"/>
      <c r="D1719" s="76"/>
      <c r="E1719" s="39"/>
      <c r="F1719" s="40"/>
      <c r="G1719" s="47">
        <v>0</v>
      </c>
      <c r="H1719" s="61">
        <v>0</v>
      </c>
    </row>
    <row r="1720" spans="3:8">
      <c r="C1720" s="39"/>
      <c r="D1720" s="76"/>
      <c r="E1720" s="39"/>
      <c r="F1720" s="40"/>
      <c r="G1720" s="47">
        <v>0</v>
      </c>
      <c r="H1720" s="61">
        <v>0</v>
      </c>
    </row>
    <row r="1721" spans="3:8">
      <c r="C1721" s="39"/>
      <c r="D1721" s="76"/>
      <c r="E1721" s="39"/>
      <c r="F1721" s="40"/>
      <c r="G1721" s="47">
        <v>0</v>
      </c>
      <c r="H1721" s="61">
        <v>0</v>
      </c>
    </row>
    <row r="1722" spans="3:8">
      <c r="C1722" s="39"/>
      <c r="D1722" s="76"/>
      <c r="E1722" s="39"/>
      <c r="F1722" s="40"/>
      <c r="G1722" s="47">
        <v>0</v>
      </c>
      <c r="H1722" s="61">
        <v>0</v>
      </c>
    </row>
    <row r="1723" spans="3:8">
      <c r="C1723" s="39"/>
      <c r="D1723" s="76"/>
      <c r="E1723" s="39"/>
      <c r="F1723" s="40"/>
      <c r="G1723" s="62">
        <v>0</v>
      </c>
      <c r="H1723" s="61">
        <v>0</v>
      </c>
    </row>
    <row r="1724" spans="3:8">
      <c r="C1724" s="39"/>
      <c r="D1724" s="44"/>
      <c r="E1724" s="39"/>
      <c r="F1724" s="49"/>
      <c r="G1724" s="47">
        <v>0</v>
      </c>
      <c r="H1724" s="61">
        <v>0</v>
      </c>
    </row>
    <row r="1725" spans="3:8">
      <c r="C1725" s="51" t="s">
        <v>40</v>
      </c>
      <c r="D1725" s="51"/>
      <c r="E1725" s="51"/>
      <c r="F1725" s="52"/>
      <c r="G1725" s="51"/>
      <c r="H1725" s="53">
        <v>31.411835454004201</v>
      </c>
    </row>
    <row r="1726" spans="3:8">
      <c r="C1726" s="54" t="s">
        <v>41</v>
      </c>
      <c r="D1726" s="55" t="s">
        <v>42</v>
      </c>
      <c r="E1726" s="56"/>
      <c r="F1726" s="63"/>
      <c r="G1726" s="64"/>
      <c r="H1726" s="64">
        <v>0</v>
      </c>
    </row>
    <row r="1727" spans="3:8">
      <c r="C1727" s="39" t="s">
        <v>77</v>
      </c>
      <c r="D1727" s="65" t="s">
        <v>204</v>
      </c>
      <c r="E1727" s="45" t="s">
        <v>28</v>
      </c>
      <c r="F1727" s="40">
        <v>1</v>
      </c>
      <c r="G1727" s="50">
        <v>57.421783657069497</v>
      </c>
      <c r="H1727" s="50">
        <v>57.421783657069497</v>
      </c>
    </row>
    <row r="1728" spans="3:8">
      <c r="C1728" s="39" t="s">
        <v>77</v>
      </c>
      <c r="D1728" s="99" t="s">
        <v>205</v>
      </c>
      <c r="E1728" s="45" t="s">
        <v>55</v>
      </c>
      <c r="F1728" s="40">
        <v>1</v>
      </c>
      <c r="G1728" s="50">
        <v>64.228437968658596</v>
      </c>
      <c r="H1728" s="50">
        <v>64.228437968658596</v>
      </c>
    </row>
    <row r="1729" spans="3:8">
      <c r="C1729" s="45"/>
      <c r="D1729" s="65"/>
      <c r="E1729" s="45"/>
      <c r="F1729" s="40"/>
      <c r="G1729" s="50">
        <v>9.0299999999999994</v>
      </c>
      <c r="H1729" s="61">
        <v>0</v>
      </c>
    </row>
    <row r="1730" spans="3:8">
      <c r="C1730" s="45"/>
      <c r="D1730" s="65"/>
      <c r="E1730" s="45"/>
      <c r="F1730" s="40"/>
      <c r="G1730" s="50">
        <v>0</v>
      </c>
      <c r="H1730" s="61">
        <v>0</v>
      </c>
    </row>
    <row r="1731" spans="3:8">
      <c r="C1731" s="45"/>
      <c r="D1731" s="65"/>
      <c r="E1731" s="45"/>
      <c r="F1731" s="40"/>
      <c r="G1731" s="50">
        <v>0</v>
      </c>
      <c r="H1731" s="61">
        <v>0</v>
      </c>
    </row>
    <row r="1732" spans="3:8">
      <c r="C1732" s="45"/>
      <c r="D1732" s="65"/>
      <c r="E1732" s="45"/>
      <c r="F1732" s="40"/>
      <c r="G1732" s="50">
        <v>0</v>
      </c>
      <c r="H1732" s="61">
        <v>0</v>
      </c>
    </row>
    <row r="1733" spans="3:8">
      <c r="C1733" s="45"/>
      <c r="D1733" s="65"/>
      <c r="E1733" s="45"/>
      <c r="F1733" s="40"/>
      <c r="G1733" s="50">
        <v>0</v>
      </c>
      <c r="H1733" s="61">
        <v>0</v>
      </c>
    </row>
    <row r="1734" spans="3:8">
      <c r="C1734" s="45"/>
      <c r="D1734" s="65"/>
      <c r="E1734" s="45"/>
      <c r="F1734" s="40"/>
      <c r="G1734" s="50">
        <v>0</v>
      </c>
      <c r="H1734" s="61">
        <v>0</v>
      </c>
    </row>
    <row r="1735" spans="3:8">
      <c r="C1735" s="51" t="s">
        <v>43</v>
      </c>
      <c r="D1735" s="51"/>
      <c r="E1735" s="51"/>
      <c r="F1735" s="52"/>
      <c r="G1735" s="51"/>
      <c r="H1735" s="53">
        <v>121.65022162572799</v>
      </c>
    </row>
    <row r="1736" spans="3:8" ht="15.75">
      <c r="C1736" s="66" t="s">
        <v>44</v>
      </c>
      <c r="D1736" s="67"/>
      <c r="E1736" s="67"/>
      <c r="F1736" s="68"/>
      <c r="G1736" s="69"/>
      <c r="H1736" s="53">
        <v>1073.5554037172201</v>
      </c>
    </row>
    <row r="1737" spans="3:8" ht="15.75">
      <c r="C1737" s="66" t="s">
        <v>45</v>
      </c>
      <c r="D1737" s="67"/>
      <c r="E1737" s="67"/>
      <c r="F1737" s="68"/>
      <c r="G1737" s="69"/>
      <c r="H1737" s="70">
        <v>264.47190914691498</v>
      </c>
    </row>
    <row r="1738" spans="3:8" ht="15.75">
      <c r="C1738" s="66" t="s">
        <v>46</v>
      </c>
      <c r="D1738" s="67"/>
      <c r="E1738" s="67"/>
      <c r="F1738" s="68"/>
      <c r="G1738" s="69"/>
      <c r="H1738" s="53">
        <v>1338.03</v>
      </c>
    </row>
    <row r="1739" spans="3:8" ht="15.75">
      <c r="C1739" s="110"/>
      <c r="D1739" s="110"/>
      <c r="E1739" s="110"/>
      <c r="F1739" s="111"/>
      <c r="G1739" s="110"/>
      <c r="H1739" s="112"/>
    </row>
    <row r="1740" spans="3:8" ht="30">
      <c r="C1740" s="22" t="s">
        <v>23</v>
      </c>
      <c r="D1740" s="23" t="s">
        <v>270</v>
      </c>
      <c r="E1740" s="23"/>
      <c r="F1740" s="24"/>
      <c r="G1740" s="25"/>
      <c r="H1740" s="26"/>
    </row>
    <row r="1741" spans="3:8">
      <c r="C1741" s="27" t="s">
        <v>25</v>
      </c>
      <c r="D1741" s="28" t="s">
        <v>271</v>
      </c>
      <c r="E1741" s="29"/>
      <c r="F1741" s="30" t="s">
        <v>27</v>
      </c>
      <c r="G1741" s="31" t="s">
        <v>199</v>
      </c>
      <c r="H1741" s="32">
        <v>1519.82</v>
      </c>
    </row>
    <row r="1742" spans="3:8">
      <c r="C1742" s="33" t="s">
        <v>29</v>
      </c>
      <c r="D1742" s="33" t="s">
        <v>30</v>
      </c>
      <c r="E1742" s="33" t="s">
        <v>31</v>
      </c>
      <c r="F1742" s="34" t="s">
        <v>32</v>
      </c>
      <c r="G1742" s="35" t="s">
        <v>33</v>
      </c>
      <c r="H1742" s="35" t="s">
        <v>34</v>
      </c>
    </row>
    <row r="1743" spans="3:8">
      <c r="C1743" s="33"/>
      <c r="D1743" s="33"/>
      <c r="E1743" s="33"/>
      <c r="F1743" s="34"/>
      <c r="G1743" s="36"/>
      <c r="H1743" s="36"/>
    </row>
    <row r="1744" spans="3:8">
      <c r="C1744" s="37" t="s">
        <v>35</v>
      </c>
      <c r="D1744" s="38" t="s">
        <v>36</v>
      </c>
      <c r="E1744" s="39"/>
      <c r="F1744" s="40"/>
      <c r="G1744" s="41"/>
      <c r="H1744" s="42"/>
    </row>
    <row r="1745" spans="3:8">
      <c r="C1745" s="39" t="s">
        <v>129</v>
      </c>
      <c r="D1745" s="71" t="s">
        <v>200</v>
      </c>
      <c r="E1745" s="39" t="s">
        <v>51</v>
      </c>
      <c r="F1745" s="60">
        <v>3.93834837639033</v>
      </c>
      <c r="G1745" s="46">
        <v>78.795486071171297</v>
      </c>
      <c r="H1745" s="47">
        <v>310.32407463528398</v>
      </c>
    </row>
    <row r="1746" spans="3:8">
      <c r="C1746" s="39" t="s">
        <v>49</v>
      </c>
      <c r="D1746" s="65" t="s">
        <v>201</v>
      </c>
      <c r="E1746" s="39" t="s">
        <v>51</v>
      </c>
      <c r="F1746" s="60">
        <v>0.88610725133222601</v>
      </c>
      <c r="G1746" s="46">
        <v>45.411750977784699</v>
      </c>
      <c r="H1746" s="47">
        <v>40.2396818371083</v>
      </c>
    </row>
    <row r="1747" spans="3:8">
      <c r="C1747" s="39" t="s">
        <v>129</v>
      </c>
      <c r="D1747" s="65" t="s">
        <v>202</v>
      </c>
      <c r="E1747" s="39" t="s">
        <v>51</v>
      </c>
      <c r="F1747" s="60">
        <v>0.97432753348220602</v>
      </c>
      <c r="G1747" s="46">
        <v>72.4420787409273</v>
      </c>
      <c r="H1747" s="47">
        <v>70.582311899971401</v>
      </c>
    </row>
    <row r="1748" spans="3:8">
      <c r="C1748" s="39" t="s">
        <v>49</v>
      </c>
      <c r="D1748" s="65" t="s">
        <v>160</v>
      </c>
      <c r="E1748" s="39" t="s">
        <v>51</v>
      </c>
      <c r="F1748" s="60">
        <v>0.76120932661538199</v>
      </c>
      <c r="G1748" s="46">
        <v>74.717676591289106</v>
      </c>
      <c r="H1748" s="47">
        <v>56.875792284321101</v>
      </c>
    </row>
    <row r="1749" spans="3:8">
      <c r="C1749" s="39" t="s">
        <v>129</v>
      </c>
      <c r="D1749" s="65" t="s">
        <v>203</v>
      </c>
      <c r="E1749" s="108" t="s">
        <v>51</v>
      </c>
      <c r="F1749" s="60">
        <v>5.3216921546636398</v>
      </c>
      <c r="G1749" s="46">
        <v>106.731710416406</v>
      </c>
      <c r="H1749" s="47">
        <v>567.99330597681796</v>
      </c>
    </row>
    <row r="1750" spans="3:8">
      <c r="C1750" s="39"/>
      <c r="D1750" s="65"/>
      <c r="E1750" s="39"/>
      <c r="F1750" s="60"/>
      <c r="G1750" s="46">
        <v>0</v>
      </c>
      <c r="H1750" s="47">
        <v>0</v>
      </c>
    </row>
    <row r="1751" spans="3:8">
      <c r="C1751" s="43"/>
      <c r="D1751" s="65"/>
      <c r="E1751" s="39"/>
      <c r="F1751" s="60"/>
      <c r="G1751" s="46">
        <v>0</v>
      </c>
      <c r="H1751" s="47">
        <v>0</v>
      </c>
    </row>
    <row r="1752" spans="3:8">
      <c r="C1752" s="43"/>
      <c r="D1752" s="65"/>
      <c r="E1752" s="39"/>
      <c r="F1752" s="75"/>
      <c r="G1752" s="46">
        <v>0</v>
      </c>
      <c r="H1752" s="47">
        <v>0</v>
      </c>
    </row>
    <row r="1753" spans="3:8">
      <c r="C1753" s="51" t="s">
        <v>37</v>
      </c>
      <c r="D1753" s="51"/>
      <c r="E1753" s="51"/>
      <c r="F1753" s="52"/>
      <c r="G1753" s="51"/>
      <c r="H1753" s="53">
        <v>1046.0151666335</v>
      </c>
    </row>
    <row r="1754" spans="3:8">
      <c r="C1754" s="54" t="s">
        <v>38</v>
      </c>
      <c r="D1754" s="55" t="s">
        <v>39</v>
      </c>
      <c r="E1754" s="56"/>
      <c r="F1754" s="57"/>
      <c r="G1754" s="58"/>
      <c r="H1754" s="58"/>
    </row>
    <row r="1755" spans="3:8">
      <c r="C1755" s="39" t="s">
        <v>53</v>
      </c>
      <c r="D1755" s="76" t="s">
        <v>136</v>
      </c>
      <c r="E1755" s="39" t="s">
        <v>28</v>
      </c>
      <c r="F1755" s="105">
        <v>0.48749999999999999</v>
      </c>
      <c r="G1755" s="62">
        <v>73.2210616643452</v>
      </c>
      <c r="H1755" s="61">
        <v>35.695267561368297</v>
      </c>
    </row>
    <row r="1756" spans="3:8">
      <c r="C1756" s="39"/>
      <c r="D1756" s="76"/>
      <c r="E1756" s="39"/>
      <c r="F1756" s="116"/>
      <c r="G1756" s="47">
        <v>0</v>
      </c>
      <c r="H1756" s="61">
        <v>0</v>
      </c>
    </row>
    <row r="1757" spans="3:8">
      <c r="C1757" s="39"/>
      <c r="D1757" s="76"/>
      <c r="E1757" s="39"/>
      <c r="F1757" s="40"/>
      <c r="G1757" s="47">
        <v>0</v>
      </c>
      <c r="H1757" s="61">
        <v>0</v>
      </c>
    </row>
    <row r="1758" spans="3:8">
      <c r="C1758" s="39"/>
      <c r="D1758" s="76"/>
      <c r="E1758" s="39"/>
      <c r="F1758" s="40"/>
      <c r="G1758" s="47">
        <v>0</v>
      </c>
      <c r="H1758" s="61">
        <v>0</v>
      </c>
    </row>
    <row r="1759" spans="3:8">
      <c r="C1759" s="39"/>
      <c r="D1759" s="76"/>
      <c r="E1759" s="39"/>
      <c r="F1759" s="40"/>
      <c r="G1759" s="47">
        <v>0</v>
      </c>
      <c r="H1759" s="61">
        <v>0</v>
      </c>
    </row>
    <row r="1760" spans="3:8">
      <c r="C1760" s="39"/>
      <c r="D1760" s="76"/>
      <c r="E1760" s="39"/>
      <c r="F1760" s="40"/>
      <c r="G1760" s="47">
        <v>0</v>
      </c>
      <c r="H1760" s="61">
        <v>0</v>
      </c>
    </row>
    <row r="1761" spans="3:8">
      <c r="C1761" s="39"/>
      <c r="D1761" s="76"/>
      <c r="E1761" s="39"/>
      <c r="F1761" s="40"/>
      <c r="G1761" s="62">
        <v>0</v>
      </c>
      <c r="H1761" s="61">
        <v>0</v>
      </c>
    </row>
    <row r="1762" spans="3:8">
      <c r="C1762" s="39"/>
      <c r="D1762" s="44"/>
      <c r="E1762" s="39"/>
      <c r="F1762" s="49"/>
      <c r="G1762" s="47">
        <v>0</v>
      </c>
      <c r="H1762" s="61">
        <v>0</v>
      </c>
    </row>
    <row r="1763" spans="3:8">
      <c r="C1763" s="51" t="s">
        <v>40</v>
      </c>
      <c r="D1763" s="51"/>
      <c r="E1763" s="51"/>
      <c r="F1763" s="52"/>
      <c r="G1763" s="51"/>
      <c r="H1763" s="53">
        <v>35.695267561368297</v>
      </c>
    </row>
    <row r="1764" spans="3:8">
      <c r="C1764" s="54" t="s">
        <v>41</v>
      </c>
      <c r="D1764" s="55" t="s">
        <v>42</v>
      </c>
      <c r="E1764" s="56"/>
      <c r="F1764" s="63"/>
      <c r="G1764" s="64"/>
      <c r="H1764" s="64">
        <v>0</v>
      </c>
    </row>
    <row r="1765" spans="3:8">
      <c r="C1765" s="45" t="s">
        <v>77</v>
      </c>
      <c r="D1765" s="65" t="s">
        <v>204</v>
      </c>
      <c r="E1765" s="45" t="s">
        <v>28</v>
      </c>
      <c r="F1765" s="40">
        <v>1</v>
      </c>
      <c r="G1765" s="50">
        <v>57.421783657069497</v>
      </c>
      <c r="H1765" s="50">
        <v>57.421783657069497</v>
      </c>
    </row>
    <row r="1766" spans="3:8">
      <c r="C1766" s="45" t="s">
        <v>77</v>
      </c>
      <c r="D1766" s="65" t="s">
        <v>205</v>
      </c>
      <c r="E1766" s="45" t="s">
        <v>55</v>
      </c>
      <c r="F1766" s="40">
        <v>1</v>
      </c>
      <c r="G1766" s="50">
        <v>80.285547460823196</v>
      </c>
      <c r="H1766" s="50">
        <v>80.285547460823196</v>
      </c>
    </row>
    <row r="1767" spans="3:8">
      <c r="C1767" s="45"/>
      <c r="D1767" s="65"/>
      <c r="E1767" s="45"/>
      <c r="F1767" s="40"/>
      <c r="G1767" s="50">
        <v>0</v>
      </c>
      <c r="H1767" s="61">
        <v>0</v>
      </c>
    </row>
    <row r="1768" spans="3:8">
      <c r="C1768" s="45"/>
      <c r="D1768" s="65"/>
      <c r="E1768" s="45"/>
      <c r="F1768" s="40"/>
      <c r="G1768" s="50">
        <v>0</v>
      </c>
      <c r="H1768" s="61">
        <v>0</v>
      </c>
    </row>
    <row r="1769" spans="3:8">
      <c r="C1769" s="45"/>
      <c r="D1769" s="65"/>
      <c r="E1769" s="45"/>
      <c r="F1769" s="40"/>
      <c r="G1769" s="50">
        <v>0</v>
      </c>
      <c r="H1769" s="61">
        <v>0</v>
      </c>
    </row>
    <row r="1770" spans="3:8">
      <c r="C1770" s="45"/>
      <c r="D1770" s="65"/>
      <c r="E1770" s="45"/>
      <c r="F1770" s="40"/>
      <c r="G1770" s="50">
        <v>0</v>
      </c>
      <c r="H1770" s="61">
        <v>0</v>
      </c>
    </row>
    <row r="1771" spans="3:8">
      <c r="C1771" s="45"/>
      <c r="D1771" s="65"/>
      <c r="E1771" s="45"/>
      <c r="F1771" s="40"/>
      <c r="G1771" s="50">
        <v>0</v>
      </c>
      <c r="H1771" s="61">
        <v>0</v>
      </c>
    </row>
    <row r="1772" spans="3:8">
      <c r="C1772" s="45"/>
      <c r="D1772" s="65"/>
      <c r="E1772" s="45"/>
      <c r="F1772" s="40"/>
      <c r="G1772" s="50">
        <v>0</v>
      </c>
      <c r="H1772" s="61">
        <v>0</v>
      </c>
    </row>
    <row r="1773" spans="3:8">
      <c r="C1773" s="51" t="s">
        <v>43</v>
      </c>
      <c r="D1773" s="51"/>
      <c r="E1773" s="51"/>
      <c r="F1773" s="52"/>
      <c r="G1773" s="51"/>
      <c r="H1773" s="53">
        <v>137.70733111789301</v>
      </c>
    </row>
    <row r="1774" spans="3:8" ht="15.75">
      <c r="C1774" s="66" t="s">
        <v>44</v>
      </c>
      <c r="D1774" s="67"/>
      <c r="E1774" s="67"/>
      <c r="F1774" s="68"/>
      <c r="G1774" s="69"/>
      <c r="H1774" s="53">
        <v>1219.4177653127599</v>
      </c>
    </row>
    <row r="1775" spans="3:8" ht="15.75">
      <c r="C1775" s="66" t="s">
        <v>45</v>
      </c>
      <c r="D1775" s="67"/>
      <c r="E1775" s="67"/>
      <c r="F1775" s="68"/>
      <c r="G1775" s="69"/>
      <c r="H1775" s="70">
        <v>300.40531054406603</v>
      </c>
    </row>
    <row r="1776" spans="3:8" ht="15.75">
      <c r="C1776" s="66" t="s">
        <v>46</v>
      </c>
      <c r="D1776" s="67"/>
      <c r="E1776" s="67"/>
      <c r="F1776" s="68"/>
      <c r="G1776" s="69"/>
      <c r="H1776" s="53">
        <v>1519.82</v>
      </c>
    </row>
    <row r="1777" spans="3:8" ht="15.75">
      <c r="C1777" s="110"/>
      <c r="D1777" s="110"/>
      <c r="E1777" s="110"/>
      <c r="F1777" s="111"/>
      <c r="G1777" s="110"/>
      <c r="H1777" s="112"/>
    </row>
    <row r="1778" spans="3:8" ht="30">
      <c r="C1778" s="22" t="s">
        <v>23</v>
      </c>
      <c r="D1778" s="23" t="s">
        <v>272</v>
      </c>
      <c r="E1778" s="23"/>
      <c r="F1778" s="24"/>
      <c r="G1778" s="25"/>
      <c r="H1778" s="26"/>
    </row>
    <row r="1779" spans="3:8">
      <c r="C1779" s="27" t="s">
        <v>25</v>
      </c>
      <c r="D1779" s="28" t="s">
        <v>273</v>
      </c>
      <c r="E1779" s="29"/>
      <c r="F1779" s="30" t="s">
        <v>27</v>
      </c>
      <c r="G1779" s="31" t="s">
        <v>199</v>
      </c>
      <c r="H1779" s="32">
        <v>1519.82</v>
      </c>
    </row>
    <row r="1780" spans="3:8">
      <c r="C1780" s="33" t="s">
        <v>29</v>
      </c>
      <c r="D1780" s="33" t="s">
        <v>30</v>
      </c>
      <c r="E1780" s="33" t="s">
        <v>31</v>
      </c>
      <c r="F1780" s="34" t="s">
        <v>32</v>
      </c>
      <c r="G1780" s="35" t="s">
        <v>33</v>
      </c>
      <c r="H1780" s="35" t="s">
        <v>34</v>
      </c>
    </row>
    <row r="1781" spans="3:8">
      <c r="C1781" s="33"/>
      <c r="D1781" s="33"/>
      <c r="E1781" s="33"/>
      <c r="F1781" s="34"/>
      <c r="G1781" s="36"/>
      <c r="H1781" s="36"/>
    </row>
    <row r="1782" spans="3:8">
      <c r="C1782" s="37" t="s">
        <v>35</v>
      </c>
      <c r="D1782" s="38" t="s">
        <v>36</v>
      </c>
      <c r="E1782" s="39"/>
      <c r="F1782" s="40"/>
      <c r="G1782" s="41"/>
      <c r="H1782" s="42"/>
    </row>
    <row r="1783" spans="3:8">
      <c r="C1783" s="39" t="s">
        <v>129</v>
      </c>
      <c r="D1783" s="71" t="s">
        <v>200</v>
      </c>
      <c r="E1783" s="39" t="s">
        <v>51</v>
      </c>
      <c r="F1783" s="60">
        <v>3.93834837639033</v>
      </c>
      <c r="G1783" s="46">
        <v>78.795486071171297</v>
      </c>
      <c r="H1783" s="47">
        <v>310.32407463528398</v>
      </c>
    </row>
    <row r="1784" spans="3:8">
      <c r="C1784" s="39" t="s">
        <v>49</v>
      </c>
      <c r="D1784" s="65" t="s">
        <v>201</v>
      </c>
      <c r="E1784" s="39" t="s">
        <v>51</v>
      </c>
      <c r="F1784" s="60">
        <v>0.88610725133222601</v>
      </c>
      <c r="G1784" s="46">
        <v>45.411750977784699</v>
      </c>
      <c r="H1784" s="47">
        <v>40.2396818371083</v>
      </c>
    </row>
    <row r="1785" spans="3:8">
      <c r="C1785" s="39" t="s">
        <v>129</v>
      </c>
      <c r="D1785" s="65" t="s">
        <v>202</v>
      </c>
      <c r="E1785" s="39" t="s">
        <v>51</v>
      </c>
      <c r="F1785" s="60">
        <v>0.97432753348220602</v>
      </c>
      <c r="G1785" s="46">
        <v>72.4420787409273</v>
      </c>
      <c r="H1785" s="47">
        <v>70.582311899971401</v>
      </c>
    </row>
    <row r="1786" spans="3:8">
      <c r="C1786" s="39" t="s">
        <v>49</v>
      </c>
      <c r="D1786" s="65" t="s">
        <v>160</v>
      </c>
      <c r="E1786" s="39" t="s">
        <v>51</v>
      </c>
      <c r="F1786" s="60">
        <v>0.76120932661538199</v>
      </c>
      <c r="G1786" s="46">
        <v>74.717676591289106</v>
      </c>
      <c r="H1786" s="47">
        <v>56.875792284321101</v>
      </c>
    </row>
    <row r="1787" spans="3:8">
      <c r="C1787" s="39" t="s">
        <v>129</v>
      </c>
      <c r="D1787" s="65" t="s">
        <v>203</v>
      </c>
      <c r="E1787" s="108" t="s">
        <v>51</v>
      </c>
      <c r="F1787" s="60">
        <v>5.3216921546636398</v>
      </c>
      <c r="G1787" s="46">
        <v>106.731710416406</v>
      </c>
      <c r="H1787" s="47">
        <v>567.99330597681796</v>
      </c>
    </row>
    <row r="1788" spans="3:8">
      <c r="C1788" s="39"/>
      <c r="D1788" s="65"/>
      <c r="E1788" s="39"/>
      <c r="F1788" s="60"/>
      <c r="G1788" s="46">
        <v>0</v>
      </c>
      <c r="H1788" s="47">
        <v>0</v>
      </c>
    </row>
    <row r="1789" spans="3:8">
      <c r="C1789" s="43"/>
      <c r="D1789" s="65"/>
      <c r="E1789" s="39"/>
      <c r="F1789" s="60"/>
      <c r="G1789" s="46">
        <v>0</v>
      </c>
      <c r="H1789" s="47">
        <v>0</v>
      </c>
    </row>
    <row r="1790" spans="3:8">
      <c r="C1790" s="43"/>
      <c r="D1790" s="65"/>
      <c r="E1790" s="39"/>
      <c r="F1790" s="75"/>
      <c r="G1790" s="46">
        <v>0</v>
      </c>
      <c r="H1790" s="47">
        <v>0</v>
      </c>
    </row>
    <row r="1791" spans="3:8">
      <c r="C1791" s="51" t="s">
        <v>37</v>
      </c>
      <c r="D1791" s="51"/>
      <c r="E1791" s="51"/>
      <c r="F1791" s="52"/>
      <c r="G1791" s="51"/>
      <c r="H1791" s="53">
        <v>1046.0151666335</v>
      </c>
    </row>
    <row r="1792" spans="3:8">
      <c r="C1792" s="54" t="s">
        <v>38</v>
      </c>
      <c r="D1792" s="55" t="s">
        <v>39</v>
      </c>
      <c r="E1792" s="56"/>
      <c r="F1792" s="57"/>
      <c r="G1792" s="58"/>
      <c r="H1792" s="58"/>
    </row>
    <row r="1793" spans="3:8">
      <c r="C1793" s="39" t="s">
        <v>53</v>
      </c>
      <c r="D1793" s="76" t="s">
        <v>136</v>
      </c>
      <c r="E1793" s="39" t="s">
        <v>28</v>
      </c>
      <c r="F1793" s="105">
        <v>0.48749999999999999</v>
      </c>
      <c r="G1793" s="62">
        <v>73.2210616643452</v>
      </c>
      <c r="H1793" s="61">
        <v>35.695267561368297</v>
      </c>
    </row>
    <row r="1794" spans="3:8">
      <c r="C1794" s="39"/>
      <c r="D1794" s="76"/>
      <c r="E1794" s="39"/>
      <c r="F1794" s="116"/>
      <c r="G1794" s="47">
        <v>0</v>
      </c>
      <c r="H1794" s="61">
        <v>0</v>
      </c>
    </row>
    <row r="1795" spans="3:8">
      <c r="C1795" s="39"/>
      <c r="D1795" s="76"/>
      <c r="E1795" s="39"/>
      <c r="F1795" s="40"/>
      <c r="G1795" s="47">
        <v>0</v>
      </c>
      <c r="H1795" s="61">
        <v>0</v>
      </c>
    </row>
    <row r="1796" spans="3:8">
      <c r="C1796" s="39"/>
      <c r="D1796" s="76"/>
      <c r="E1796" s="39"/>
      <c r="F1796" s="40"/>
      <c r="G1796" s="47">
        <v>0</v>
      </c>
      <c r="H1796" s="61">
        <v>0</v>
      </c>
    </row>
    <row r="1797" spans="3:8">
      <c r="C1797" s="39"/>
      <c r="D1797" s="76"/>
      <c r="E1797" s="39"/>
      <c r="F1797" s="40"/>
      <c r="G1797" s="47">
        <v>0</v>
      </c>
      <c r="H1797" s="61">
        <v>0</v>
      </c>
    </row>
    <row r="1798" spans="3:8">
      <c r="C1798" s="39"/>
      <c r="D1798" s="76"/>
      <c r="E1798" s="39"/>
      <c r="F1798" s="40"/>
      <c r="G1798" s="47">
        <v>0</v>
      </c>
      <c r="H1798" s="61">
        <v>0</v>
      </c>
    </row>
    <row r="1799" spans="3:8">
      <c r="C1799" s="39"/>
      <c r="D1799" s="76"/>
      <c r="E1799" s="39"/>
      <c r="F1799" s="40"/>
      <c r="G1799" s="62">
        <v>0</v>
      </c>
      <c r="H1799" s="61">
        <v>0</v>
      </c>
    </row>
    <row r="1800" spans="3:8">
      <c r="C1800" s="39"/>
      <c r="D1800" s="44"/>
      <c r="E1800" s="39"/>
      <c r="F1800" s="49"/>
      <c r="G1800" s="47">
        <v>0</v>
      </c>
      <c r="H1800" s="61">
        <v>0</v>
      </c>
    </row>
    <row r="1801" spans="3:8">
      <c r="C1801" s="51" t="s">
        <v>40</v>
      </c>
      <c r="D1801" s="51"/>
      <c r="E1801" s="51"/>
      <c r="F1801" s="52"/>
      <c r="G1801" s="51"/>
      <c r="H1801" s="53">
        <v>35.695267561368297</v>
      </c>
    </row>
    <row r="1802" spans="3:8">
      <c r="C1802" s="54" t="s">
        <v>41</v>
      </c>
      <c r="D1802" s="55" t="s">
        <v>42</v>
      </c>
      <c r="E1802" s="56"/>
      <c r="F1802" s="63"/>
      <c r="G1802" s="64"/>
      <c r="H1802" s="64">
        <v>0</v>
      </c>
    </row>
    <row r="1803" spans="3:8">
      <c r="C1803" s="45" t="s">
        <v>77</v>
      </c>
      <c r="D1803" s="65" t="s">
        <v>204</v>
      </c>
      <c r="E1803" s="45" t="s">
        <v>28</v>
      </c>
      <c r="F1803" s="40">
        <v>1</v>
      </c>
      <c r="G1803" s="50">
        <v>57.421783657069497</v>
      </c>
      <c r="H1803" s="50">
        <v>57.421783657069497</v>
      </c>
    </row>
    <row r="1804" spans="3:8">
      <c r="C1804" s="45" t="s">
        <v>77</v>
      </c>
      <c r="D1804" s="65" t="s">
        <v>205</v>
      </c>
      <c r="E1804" s="45" t="s">
        <v>55</v>
      </c>
      <c r="F1804" s="40">
        <v>1</v>
      </c>
      <c r="G1804" s="50">
        <v>80.285547460823196</v>
      </c>
      <c r="H1804" s="50">
        <v>80.285547460823196</v>
      </c>
    </row>
    <row r="1805" spans="3:8">
      <c r="C1805" s="45"/>
      <c r="D1805" s="65"/>
      <c r="E1805" s="45"/>
      <c r="F1805" s="40"/>
      <c r="G1805" s="50">
        <v>0</v>
      </c>
      <c r="H1805" s="61">
        <v>0</v>
      </c>
    </row>
    <row r="1806" spans="3:8">
      <c r="C1806" s="45"/>
      <c r="D1806" s="65"/>
      <c r="E1806" s="45"/>
      <c r="F1806" s="40"/>
      <c r="G1806" s="50">
        <v>0</v>
      </c>
      <c r="H1806" s="61">
        <v>0</v>
      </c>
    </row>
    <row r="1807" spans="3:8">
      <c r="C1807" s="45"/>
      <c r="D1807" s="65"/>
      <c r="E1807" s="45"/>
      <c r="F1807" s="40"/>
      <c r="G1807" s="50">
        <v>0</v>
      </c>
      <c r="H1807" s="61">
        <v>0</v>
      </c>
    </row>
    <row r="1808" spans="3:8">
      <c r="C1808" s="45"/>
      <c r="D1808" s="65"/>
      <c r="E1808" s="45"/>
      <c r="F1808" s="40"/>
      <c r="G1808" s="50">
        <v>0</v>
      </c>
      <c r="H1808" s="61">
        <v>0</v>
      </c>
    </row>
    <row r="1809" spans="3:8">
      <c r="C1809" s="45"/>
      <c r="D1809" s="65"/>
      <c r="E1809" s="45"/>
      <c r="F1809" s="40"/>
      <c r="G1809" s="50">
        <v>0</v>
      </c>
      <c r="H1809" s="61">
        <v>0</v>
      </c>
    </row>
    <row r="1810" spans="3:8">
      <c r="C1810" s="45"/>
      <c r="D1810" s="65"/>
      <c r="E1810" s="45"/>
      <c r="F1810" s="40"/>
      <c r="G1810" s="50">
        <v>0</v>
      </c>
      <c r="H1810" s="61">
        <v>0</v>
      </c>
    </row>
    <row r="1811" spans="3:8">
      <c r="C1811" s="51" t="s">
        <v>43</v>
      </c>
      <c r="D1811" s="51"/>
      <c r="E1811" s="51"/>
      <c r="F1811" s="52"/>
      <c r="G1811" s="51"/>
      <c r="H1811" s="53">
        <v>137.70733111789301</v>
      </c>
    </row>
    <row r="1812" spans="3:8" ht="15.75">
      <c r="C1812" s="66" t="s">
        <v>44</v>
      </c>
      <c r="D1812" s="67"/>
      <c r="E1812" s="67"/>
      <c r="F1812" s="68"/>
      <c r="G1812" s="69"/>
      <c r="H1812" s="53">
        <v>1219.4177653127599</v>
      </c>
    </row>
    <row r="1813" spans="3:8" ht="15.75">
      <c r="C1813" s="66" t="s">
        <v>45</v>
      </c>
      <c r="D1813" s="67"/>
      <c r="E1813" s="67"/>
      <c r="F1813" s="68"/>
      <c r="G1813" s="69"/>
      <c r="H1813" s="70">
        <v>300.40531054406603</v>
      </c>
    </row>
    <row r="1814" spans="3:8" ht="15.75">
      <c r="C1814" s="66" t="s">
        <v>46</v>
      </c>
      <c r="D1814" s="67"/>
      <c r="E1814" s="67"/>
      <c r="F1814" s="68"/>
      <c r="G1814" s="69"/>
      <c r="H1814" s="53">
        <v>1519.82</v>
      </c>
    </row>
    <row r="1815" spans="3:8" ht="15.75">
      <c r="C1815" s="110"/>
      <c r="D1815" s="110"/>
      <c r="E1815" s="110"/>
      <c r="F1815" s="111"/>
      <c r="G1815" s="110"/>
      <c r="H1815" s="112"/>
    </row>
    <row r="1816" spans="3:8" ht="30">
      <c r="C1816" s="22" t="s">
        <v>23</v>
      </c>
      <c r="D1816" s="23" t="s">
        <v>274</v>
      </c>
      <c r="E1816" s="23"/>
      <c r="F1816" s="24"/>
      <c r="G1816" s="25"/>
      <c r="H1816" s="26"/>
    </row>
    <row r="1817" spans="3:8">
      <c r="C1817" s="27" t="s">
        <v>25</v>
      </c>
      <c r="D1817" s="28" t="s">
        <v>275</v>
      </c>
      <c r="E1817" s="29"/>
      <c r="F1817" s="30" t="s">
        <v>27</v>
      </c>
      <c r="G1817" s="31" t="s">
        <v>199</v>
      </c>
      <c r="H1817" s="32">
        <v>2533.81</v>
      </c>
    </row>
    <row r="1818" spans="3:8">
      <c r="C1818" s="33" t="s">
        <v>29</v>
      </c>
      <c r="D1818" s="33" t="s">
        <v>30</v>
      </c>
      <c r="E1818" s="33" t="s">
        <v>31</v>
      </c>
      <c r="F1818" s="34" t="s">
        <v>32</v>
      </c>
      <c r="G1818" s="35" t="s">
        <v>33</v>
      </c>
      <c r="H1818" s="35" t="s">
        <v>34</v>
      </c>
    </row>
    <row r="1819" spans="3:8">
      <c r="C1819" s="33"/>
      <c r="D1819" s="33"/>
      <c r="E1819" s="33"/>
      <c r="F1819" s="34"/>
      <c r="G1819" s="36"/>
      <c r="H1819" s="36"/>
    </row>
    <row r="1820" spans="3:8">
      <c r="C1820" s="37" t="s">
        <v>35</v>
      </c>
      <c r="D1820" s="38" t="s">
        <v>36</v>
      </c>
      <c r="E1820" s="39"/>
      <c r="F1820" s="40"/>
      <c r="G1820" s="41"/>
      <c r="H1820" s="42"/>
    </row>
    <row r="1821" spans="3:8">
      <c r="C1821" s="39" t="s">
        <v>129</v>
      </c>
      <c r="D1821" s="71" t="s">
        <v>200</v>
      </c>
      <c r="E1821" s="39" t="s">
        <v>51</v>
      </c>
      <c r="F1821" s="60">
        <v>5.2511311685204696</v>
      </c>
      <c r="G1821" s="62">
        <v>78.795486071171297</v>
      </c>
      <c r="H1821" s="47">
        <v>413.76543284704798</v>
      </c>
    </row>
    <row r="1822" spans="3:8">
      <c r="C1822" s="39" t="s">
        <v>49</v>
      </c>
      <c r="D1822" s="65" t="s">
        <v>201</v>
      </c>
      <c r="E1822" s="39" t="s">
        <v>51</v>
      </c>
      <c r="F1822" s="60">
        <v>1.18147633510963</v>
      </c>
      <c r="G1822" s="62">
        <v>45.411750977784699</v>
      </c>
      <c r="H1822" s="47">
        <v>53.652909116144201</v>
      </c>
    </row>
    <row r="1823" spans="3:8">
      <c r="C1823" s="39" t="s">
        <v>129</v>
      </c>
      <c r="D1823" s="65" t="s">
        <v>202</v>
      </c>
      <c r="E1823" s="39" t="s">
        <v>51</v>
      </c>
      <c r="F1823" s="60">
        <v>1.2991033779762799</v>
      </c>
      <c r="G1823" s="62">
        <v>72.4420787409273</v>
      </c>
      <c r="H1823" s="47">
        <v>94.109749199962295</v>
      </c>
    </row>
    <row r="1824" spans="3:8">
      <c r="C1824" s="39" t="s">
        <v>49</v>
      </c>
      <c r="D1824" s="65" t="s">
        <v>160</v>
      </c>
      <c r="E1824" s="39" t="s">
        <v>51</v>
      </c>
      <c r="F1824" s="60">
        <v>1.0149457688205099</v>
      </c>
      <c r="G1824" s="62">
        <v>74.717676591289106</v>
      </c>
      <c r="H1824" s="47">
        <v>75.834389712428106</v>
      </c>
    </row>
    <row r="1825" spans="3:8">
      <c r="C1825" s="39" t="s">
        <v>129</v>
      </c>
      <c r="D1825" s="65" t="s">
        <v>203</v>
      </c>
      <c r="E1825" s="108" t="s">
        <v>51</v>
      </c>
      <c r="F1825" s="60">
        <v>10.6433843093272</v>
      </c>
      <c r="G1825" s="62">
        <v>106.731710416406</v>
      </c>
      <c r="H1825" s="47">
        <v>1135.98661195363</v>
      </c>
    </row>
    <row r="1826" spans="3:8">
      <c r="C1826" s="39"/>
      <c r="D1826" s="65"/>
      <c r="E1826" s="39"/>
      <c r="F1826" s="60"/>
      <c r="G1826" s="46">
        <v>0</v>
      </c>
      <c r="H1826" s="47">
        <v>0</v>
      </c>
    </row>
    <row r="1827" spans="3:8">
      <c r="C1827" s="43"/>
      <c r="D1827" s="65"/>
      <c r="E1827" s="39"/>
      <c r="F1827" s="60"/>
      <c r="G1827" s="46">
        <v>0</v>
      </c>
      <c r="H1827" s="47">
        <v>0</v>
      </c>
    </row>
    <row r="1828" spans="3:8">
      <c r="C1828" s="43"/>
      <c r="D1828" s="65"/>
      <c r="E1828" s="39"/>
      <c r="F1828" s="75"/>
      <c r="G1828" s="46">
        <v>0</v>
      </c>
      <c r="H1828" s="47">
        <v>0</v>
      </c>
    </row>
    <row r="1829" spans="3:8">
      <c r="C1829" s="51" t="s">
        <v>37</v>
      </c>
      <c r="D1829" s="51"/>
      <c r="E1829" s="51"/>
      <c r="F1829" s="52"/>
      <c r="G1829" s="51"/>
      <c r="H1829" s="53">
        <v>1773.3490928292099</v>
      </c>
    </row>
    <row r="1830" spans="3:8">
      <c r="C1830" s="54" t="s">
        <v>38</v>
      </c>
      <c r="D1830" s="55" t="s">
        <v>39</v>
      </c>
      <c r="E1830" s="56"/>
      <c r="F1830" s="57"/>
      <c r="G1830" s="58"/>
      <c r="H1830" s="58"/>
    </row>
    <row r="1831" spans="3:8">
      <c r="C1831" s="39" t="s">
        <v>53</v>
      </c>
      <c r="D1831" s="76" t="s">
        <v>136</v>
      </c>
      <c r="E1831" s="39" t="s">
        <v>28</v>
      </c>
      <c r="F1831" s="105">
        <v>0.48749999999999999</v>
      </c>
      <c r="G1831" s="62">
        <v>124.13443649804501</v>
      </c>
      <c r="H1831" s="61">
        <v>60.5155377927967</v>
      </c>
    </row>
    <row r="1832" spans="3:8">
      <c r="C1832" s="39"/>
      <c r="D1832" s="76"/>
      <c r="E1832" s="39"/>
      <c r="F1832" s="116"/>
      <c r="G1832" s="47">
        <v>0</v>
      </c>
      <c r="H1832" s="61">
        <v>0</v>
      </c>
    </row>
    <row r="1833" spans="3:8">
      <c r="C1833" s="39"/>
      <c r="D1833" s="76"/>
      <c r="E1833" s="39"/>
      <c r="F1833" s="40"/>
      <c r="G1833" s="47">
        <v>0</v>
      </c>
      <c r="H1833" s="61">
        <v>0</v>
      </c>
    </row>
    <row r="1834" spans="3:8">
      <c r="C1834" s="39"/>
      <c r="D1834" s="76"/>
      <c r="E1834" s="39"/>
      <c r="F1834" s="40"/>
      <c r="G1834" s="47">
        <v>0</v>
      </c>
      <c r="H1834" s="61">
        <v>0</v>
      </c>
    </row>
    <row r="1835" spans="3:8">
      <c r="C1835" s="39"/>
      <c r="D1835" s="76"/>
      <c r="E1835" s="39"/>
      <c r="F1835" s="40"/>
      <c r="G1835" s="47">
        <v>0</v>
      </c>
      <c r="H1835" s="61">
        <v>0</v>
      </c>
    </row>
    <row r="1836" spans="3:8">
      <c r="C1836" s="39"/>
      <c r="D1836" s="76"/>
      <c r="E1836" s="39"/>
      <c r="F1836" s="40"/>
      <c r="G1836" s="47">
        <v>0</v>
      </c>
      <c r="H1836" s="61">
        <v>0</v>
      </c>
    </row>
    <row r="1837" spans="3:8">
      <c r="C1837" s="39"/>
      <c r="D1837" s="76"/>
      <c r="E1837" s="39"/>
      <c r="F1837" s="40"/>
      <c r="G1837" s="62">
        <v>0</v>
      </c>
      <c r="H1837" s="61">
        <v>0</v>
      </c>
    </row>
    <row r="1838" spans="3:8">
      <c r="C1838" s="39"/>
      <c r="D1838" s="44"/>
      <c r="E1838" s="39"/>
      <c r="F1838" s="49"/>
      <c r="G1838" s="47">
        <v>0</v>
      </c>
      <c r="H1838" s="61">
        <v>0</v>
      </c>
    </row>
    <row r="1839" spans="3:8">
      <c r="C1839" s="51" t="s">
        <v>40</v>
      </c>
      <c r="D1839" s="51"/>
      <c r="E1839" s="51"/>
      <c r="F1839" s="52"/>
      <c r="G1839" s="51"/>
      <c r="H1839" s="53">
        <v>60.5155377927967</v>
      </c>
    </row>
    <row r="1840" spans="3:8">
      <c r="C1840" s="54" t="s">
        <v>41</v>
      </c>
      <c r="D1840" s="55" t="s">
        <v>42</v>
      </c>
      <c r="E1840" s="56"/>
      <c r="F1840" s="63"/>
      <c r="G1840" s="64"/>
      <c r="H1840" s="64">
        <v>0</v>
      </c>
    </row>
    <row r="1841" spans="3:8">
      <c r="C1841" s="45" t="s">
        <v>77</v>
      </c>
      <c r="D1841" s="65" t="s">
        <v>204</v>
      </c>
      <c r="E1841" s="45" t="s">
        <v>28</v>
      </c>
      <c r="F1841" s="40">
        <v>1</v>
      </c>
      <c r="G1841" s="50">
        <v>57.421783657069497</v>
      </c>
      <c r="H1841" s="50">
        <v>57.421783657069497</v>
      </c>
    </row>
    <row r="1842" spans="3:8">
      <c r="C1842" s="45" t="s">
        <v>77</v>
      </c>
      <c r="D1842" s="65" t="s">
        <v>205</v>
      </c>
      <c r="E1842" s="45" t="s">
        <v>55</v>
      </c>
      <c r="F1842" s="40">
        <v>1</v>
      </c>
      <c r="G1842" s="50">
        <v>141.69264902987999</v>
      </c>
      <c r="H1842" s="50">
        <v>141.69264902987999</v>
      </c>
    </row>
    <row r="1843" spans="3:8">
      <c r="C1843" s="45"/>
      <c r="D1843" s="65"/>
      <c r="E1843" s="45"/>
      <c r="F1843" s="40"/>
      <c r="G1843" s="50">
        <v>0</v>
      </c>
      <c r="H1843" s="61">
        <v>0</v>
      </c>
    </row>
    <row r="1844" spans="3:8">
      <c r="C1844" s="45"/>
      <c r="D1844" s="65"/>
      <c r="E1844" s="45"/>
      <c r="F1844" s="40"/>
      <c r="G1844" s="50">
        <v>0</v>
      </c>
      <c r="H1844" s="61">
        <v>0</v>
      </c>
    </row>
    <row r="1845" spans="3:8">
      <c r="C1845" s="45"/>
      <c r="D1845" s="65"/>
      <c r="E1845" s="45"/>
      <c r="F1845" s="40"/>
      <c r="G1845" s="50">
        <v>0</v>
      </c>
      <c r="H1845" s="61">
        <v>0</v>
      </c>
    </row>
    <row r="1846" spans="3:8">
      <c r="C1846" s="45"/>
      <c r="D1846" s="65"/>
      <c r="E1846" s="45"/>
      <c r="F1846" s="40"/>
      <c r="G1846" s="50">
        <v>0</v>
      </c>
      <c r="H1846" s="61">
        <v>0</v>
      </c>
    </row>
    <row r="1847" spans="3:8">
      <c r="C1847" s="45"/>
      <c r="D1847" s="65"/>
      <c r="E1847" s="45"/>
      <c r="F1847" s="40"/>
      <c r="G1847" s="50">
        <v>0</v>
      </c>
      <c r="H1847" s="61">
        <v>0</v>
      </c>
    </row>
    <row r="1848" spans="3:8">
      <c r="C1848" s="45"/>
      <c r="D1848" s="65"/>
      <c r="E1848" s="45"/>
      <c r="F1848" s="40"/>
      <c r="G1848" s="50">
        <v>0</v>
      </c>
      <c r="H1848" s="61">
        <v>0</v>
      </c>
    </row>
    <row r="1849" spans="3:8">
      <c r="C1849" s="51" t="s">
        <v>43</v>
      </c>
      <c r="D1849" s="51"/>
      <c r="E1849" s="51"/>
      <c r="F1849" s="52"/>
      <c r="G1849" s="51"/>
      <c r="H1849" s="53">
        <v>199.11443268695001</v>
      </c>
    </row>
    <row r="1850" spans="3:8" ht="15.75">
      <c r="C1850" s="66" t="s">
        <v>44</v>
      </c>
      <c r="D1850" s="67"/>
      <c r="E1850" s="67"/>
      <c r="F1850" s="68"/>
      <c r="G1850" s="69"/>
      <c r="H1850" s="53">
        <v>2032.9790633089499</v>
      </c>
    </row>
    <row r="1851" spans="3:8" ht="15.75">
      <c r="C1851" s="66" t="s">
        <v>45</v>
      </c>
      <c r="D1851" s="67"/>
      <c r="E1851" s="67"/>
      <c r="F1851" s="68"/>
      <c r="G1851" s="69"/>
      <c r="H1851" s="70">
        <v>500.82729989280699</v>
      </c>
    </row>
    <row r="1852" spans="3:8" ht="15.75">
      <c r="C1852" s="66" t="s">
        <v>46</v>
      </c>
      <c r="D1852" s="67"/>
      <c r="E1852" s="67"/>
      <c r="F1852" s="68"/>
      <c r="G1852" s="69"/>
      <c r="H1852" s="53">
        <v>2533.81</v>
      </c>
    </row>
    <row r="1853" spans="3:8" ht="15.75">
      <c r="C1853" s="110"/>
      <c r="D1853" s="110"/>
      <c r="E1853" s="110"/>
      <c r="F1853" s="111"/>
      <c r="G1853" s="110"/>
      <c r="H1853" s="112"/>
    </row>
    <row r="1854" spans="3:8">
      <c r="C1854" s="22" t="s">
        <v>23</v>
      </c>
      <c r="D1854" s="23" t="s">
        <v>276</v>
      </c>
      <c r="E1854" s="23"/>
      <c r="F1854" s="24"/>
      <c r="G1854" s="25"/>
      <c r="H1854" s="26"/>
    </row>
    <row r="1855" spans="3:8">
      <c r="C1855" s="27" t="s">
        <v>25</v>
      </c>
      <c r="D1855" s="28" t="s">
        <v>277</v>
      </c>
      <c r="E1855" s="29"/>
      <c r="F1855" s="30" t="s">
        <v>27</v>
      </c>
      <c r="G1855" s="31" t="s">
        <v>128</v>
      </c>
      <c r="H1855" s="32">
        <v>34911.85</v>
      </c>
    </row>
    <row r="1856" spans="3:8">
      <c r="C1856" s="33" t="s">
        <v>29</v>
      </c>
      <c r="D1856" s="33" t="s">
        <v>30</v>
      </c>
      <c r="E1856" s="33" t="s">
        <v>31</v>
      </c>
      <c r="F1856" s="34" t="s">
        <v>32</v>
      </c>
      <c r="G1856" s="35" t="s">
        <v>33</v>
      </c>
      <c r="H1856" s="35" t="s">
        <v>34</v>
      </c>
    </row>
    <row r="1857" spans="3:8">
      <c r="C1857" s="33"/>
      <c r="D1857" s="33"/>
      <c r="E1857" s="33"/>
      <c r="F1857" s="34"/>
      <c r="G1857" s="36"/>
      <c r="H1857" s="36"/>
    </row>
    <row r="1858" spans="3:8">
      <c r="C1858" s="37" t="s">
        <v>35</v>
      </c>
      <c r="D1858" s="38" t="s">
        <v>36</v>
      </c>
      <c r="E1858" s="39"/>
      <c r="F1858" s="40"/>
      <c r="G1858" s="41"/>
      <c r="H1858" s="42"/>
    </row>
    <row r="1859" spans="3:8">
      <c r="C1859" s="39" t="s">
        <v>129</v>
      </c>
      <c r="D1859" s="71" t="s">
        <v>50</v>
      </c>
      <c r="E1859" s="39" t="s">
        <v>51</v>
      </c>
      <c r="F1859" s="60">
        <v>87.158545809390404</v>
      </c>
      <c r="G1859" s="46">
        <v>79.456006436582399</v>
      </c>
      <c r="H1859" s="47">
        <v>6925.2699768340799</v>
      </c>
    </row>
    <row r="1860" spans="3:8">
      <c r="C1860" s="39" t="s">
        <v>49</v>
      </c>
      <c r="D1860" s="65" t="s">
        <v>52</v>
      </c>
      <c r="E1860" s="39" t="s">
        <v>51</v>
      </c>
      <c r="F1860" s="60">
        <v>11.327850930586299</v>
      </c>
      <c r="G1860" s="46">
        <v>45.411750977784699</v>
      </c>
      <c r="H1860" s="47">
        <v>514.41754557325203</v>
      </c>
    </row>
    <row r="1861" spans="3:8">
      <c r="C1861" s="39" t="s">
        <v>129</v>
      </c>
      <c r="D1861" s="65" t="s">
        <v>278</v>
      </c>
      <c r="E1861" s="39" t="s">
        <v>51</v>
      </c>
      <c r="F1861" s="113">
        <v>27.351089188204501</v>
      </c>
      <c r="G1861" s="46">
        <v>89.242314887296502</v>
      </c>
      <c r="H1861" s="47">
        <v>2440.87451384428</v>
      </c>
    </row>
    <row r="1862" spans="3:8">
      <c r="C1862" s="39" t="s">
        <v>49</v>
      </c>
      <c r="D1862" s="65" t="s">
        <v>160</v>
      </c>
      <c r="E1862" s="39" t="s">
        <v>51</v>
      </c>
      <c r="F1862" s="60">
        <v>79.289535963190403</v>
      </c>
      <c r="G1862" s="46">
        <v>74.717676591289106</v>
      </c>
      <c r="H1862" s="47">
        <v>5924.3299051710501</v>
      </c>
    </row>
    <row r="1863" spans="3:8">
      <c r="C1863" s="39" t="s">
        <v>129</v>
      </c>
      <c r="D1863" s="65" t="s">
        <v>202</v>
      </c>
      <c r="E1863" s="108" t="s">
        <v>51</v>
      </c>
      <c r="F1863" s="60">
        <v>21.407853602211102</v>
      </c>
      <c r="G1863" s="46">
        <v>72.4420787409273</v>
      </c>
      <c r="H1863" s="47">
        <v>1550.8294163256201</v>
      </c>
    </row>
    <row r="1864" spans="3:8">
      <c r="C1864" s="39" t="s">
        <v>129</v>
      </c>
      <c r="D1864" s="65" t="s">
        <v>132</v>
      </c>
      <c r="E1864" s="39" t="s">
        <v>51</v>
      </c>
      <c r="F1864" s="60">
        <v>2.0014028600174698</v>
      </c>
      <c r="G1864" s="46">
        <v>44.933633313323199</v>
      </c>
      <c r="H1864" s="47">
        <v>89.930302224261496</v>
      </c>
    </row>
    <row r="1865" spans="3:8">
      <c r="C1865" s="43"/>
      <c r="D1865" s="65"/>
      <c r="E1865" s="39"/>
      <c r="F1865" s="60"/>
      <c r="G1865" s="46">
        <v>0</v>
      </c>
      <c r="H1865" s="47">
        <v>0</v>
      </c>
    </row>
    <row r="1866" spans="3:8">
      <c r="C1866" s="43"/>
      <c r="D1866" s="65"/>
      <c r="E1866" s="39"/>
      <c r="F1866" s="75"/>
      <c r="G1866" s="46">
        <v>0</v>
      </c>
      <c r="H1866" s="47">
        <v>0</v>
      </c>
    </row>
    <row r="1867" spans="3:8">
      <c r="C1867" s="51" t="s">
        <v>37</v>
      </c>
      <c r="D1867" s="51"/>
      <c r="E1867" s="51"/>
      <c r="F1867" s="52"/>
      <c r="G1867" s="51"/>
      <c r="H1867" s="53">
        <v>17445.6516599725</v>
      </c>
    </row>
    <row r="1868" spans="3:8">
      <c r="C1868" s="54" t="s">
        <v>38</v>
      </c>
      <c r="D1868" s="55" t="s">
        <v>39</v>
      </c>
      <c r="E1868" s="56"/>
      <c r="F1868" s="57"/>
      <c r="G1868" s="58"/>
      <c r="H1868" s="58"/>
    </row>
    <row r="1869" spans="3:8">
      <c r="C1869" s="39" t="s">
        <v>53</v>
      </c>
      <c r="D1869" s="76" t="s">
        <v>136</v>
      </c>
      <c r="E1869" s="39" t="s">
        <v>28</v>
      </c>
      <c r="F1869" s="105">
        <v>0.48749999999999999</v>
      </c>
      <c r="G1869" s="47">
        <v>1744.56516599725</v>
      </c>
      <c r="H1869" s="61">
        <v>850.47551842366204</v>
      </c>
    </row>
    <row r="1870" spans="3:8">
      <c r="C1870" s="39" t="s">
        <v>53</v>
      </c>
      <c r="D1870" s="76" t="s">
        <v>161</v>
      </c>
      <c r="E1870" s="39" t="s">
        <v>51</v>
      </c>
      <c r="F1870" s="40">
        <v>36.573537565536498</v>
      </c>
      <c r="G1870" s="47">
        <v>264.062314369408</v>
      </c>
      <c r="H1870" s="61">
        <v>9657.6929742320608</v>
      </c>
    </row>
    <row r="1871" spans="3:8">
      <c r="C1871" s="39"/>
      <c r="D1871" s="76"/>
      <c r="E1871" s="39"/>
      <c r="F1871" s="115"/>
      <c r="G1871" s="47">
        <v>0</v>
      </c>
      <c r="H1871" s="61">
        <v>0</v>
      </c>
    </row>
    <row r="1872" spans="3:8">
      <c r="C1872" s="39"/>
      <c r="D1872" s="76"/>
      <c r="E1872" s="39"/>
      <c r="F1872" s="40"/>
      <c r="G1872" s="47">
        <v>0</v>
      </c>
      <c r="H1872" s="61">
        <v>0</v>
      </c>
    </row>
    <row r="1873" spans="3:8">
      <c r="C1873" s="39"/>
      <c r="D1873" s="76"/>
      <c r="E1873" s="39"/>
      <c r="F1873" s="40"/>
      <c r="G1873" s="47">
        <v>0</v>
      </c>
      <c r="H1873" s="61">
        <v>0</v>
      </c>
    </row>
    <row r="1874" spans="3:8">
      <c r="C1874" s="39"/>
      <c r="D1874" s="76"/>
      <c r="E1874" s="39"/>
      <c r="F1874" s="40"/>
      <c r="G1874" s="47">
        <v>0</v>
      </c>
      <c r="H1874" s="61">
        <v>0</v>
      </c>
    </row>
    <row r="1875" spans="3:8">
      <c r="C1875" s="39"/>
      <c r="D1875" s="76"/>
      <c r="E1875" s="39"/>
      <c r="F1875" s="40"/>
      <c r="G1875" s="62">
        <v>0</v>
      </c>
      <c r="H1875" s="61">
        <v>0</v>
      </c>
    </row>
    <row r="1876" spans="3:8">
      <c r="C1876" s="39"/>
      <c r="D1876" s="44"/>
      <c r="E1876" s="39"/>
      <c r="F1876" s="49"/>
      <c r="G1876" s="47">
        <v>0</v>
      </c>
      <c r="H1876" s="61">
        <v>0</v>
      </c>
    </row>
    <row r="1877" spans="3:8">
      <c r="C1877" s="51" t="s">
        <v>40</v>
      </c>
      <c r="D1877" s="51"/>
      <c r="E1877" s="51"/>
      <c r="F1877" s="52"/>
      <c r="G1877" s="51"/>
      <c r="H1877" s="53">
        <v>10508.168492655701</v>
      </c>
    </row>
    <row r="1878" spans="3:8">
      <c r="C1878" s="54" t="s">
        <v>41</v>
      </c>
      <c r="D1878" s="55" t="s">
        <v>42</v>
      </c>
      <c r="E1878" s="56"/>
      <c r="F1878" s="63"/>
      <c r="G1878" s="64"/>
      <c r="H1878" s="64">
        <v>0</v>
      </c>
    </row>
    <row r="1879" spans="3:8">
      <c r="C1879" s="45" t="s">
        <v>77</v>
      </c>
      <c r="D1879" s="84" t="s">
        <v>204</v>
      </c>
      <c r="E1879" s="45" t="s">
        <v>28</v>
      </c>
      <c r="F1879" s="40">
        <v>1</v>
      </c>
      <c r="G1879" s="50">
        <v>57.421783657069497</v>
      </c>
      <c r="H1879" s="50">
        <v>57.421783657069497</v>
      </c>
    </row>
    <row r="1880" spans="3:8">
      <c r="C1880" s="45"/>
      <c r="D1880" s="65"/>
      <c r="E1880" s="45"/>
      <c r="F1880" s="40"/>
      <c r="G1880" s="50">
        <v>0</v>
      </c>
      <c r="H1880" s="50">
        <v>0</v>
      </c>
    </row>
    <row r="1881" spans="3:8">
      <c r="C1881" s="45"/>
      <c r="D1881" s="65"/>
      <c r="E1881" s="45"/>
      <c r="F1881" s="40"/>
      <c r="G1881" s="50">
        <v>0</v>
      </c>
      <c r="H1881" s="61">
        <v>0</v>
      </c>
    </row>
    <row r="1882" spans="3:8">
      <c r="C1882" s="45"/>
      <c r="D1882" s="65"/>
      <c r="E1882" s="45"/>
      <c r="F1882" s="40"/>
      <c r="G1882" s="50">
        <v>0</v>
      </c>
      <c r="H1882" s="61">
        <v>0</v>
      </c>
    </row>
    <row r="1883" spans="3:8">
      <c r="C1883" s="45"/>
      <c r="D1883" s="65"/>
      <c r="E1883" s="45"/>
      <c r="F1883" s="40"/>
      <c r="G1883" s="50">
        <v>0</v>
      </c>
      <c r="H1883" s="61">
        <v>0</v>
      </c>
    </row>
    <row r="1884" spans="3:8">
      <c r="C1884" s="45"/>
      <c r="D1884" s="65"/>
      <c r="E1884" s="45"/>
      <c r="F1884" s="40"/>
      <c r="G1884" s="50">
        <v>0</v>
      </c>
      <c r="H1884" s="61">
        <v>0</v>
      </c>
    </row>
    <row r="1885" spans="3:8">
      <c r="C1885" s="45"/>
      <c r="D1885" s="65"/>
      <c r="E1885" s="45"/>
      <c r="F1885" s="40"/>
      <c r="G1885" s="50">
        <v>0</v>
      </c>
      <c r="H1885" s="61">
        <v>0</v>
      </c>
    </row>
    <row r="1886" spans="3:8">
      <c r="C1886" s="45"/>
      <c r="D1886" s="65"/>
      <c r="E1886" s="45"/>
      <c r="F1886" s="40"/>
      <c r="G1886" s="50">
        <v>0</v>
      </c>
      <c r="H1886" s="61">
        <v>0</v>
      </c>
    </row>
    <row r="1887" spans="3:8">
      <c r="C1887" s="51" t="s">
        <v>43</v>
      </c>
      <c r="D1887" s="51"/>
      <c r="E1887" s="51"/>
      <c r="F1887" s="52"/>
      <c r="G1887" s="51"/>
      <c r="H1887" s="53">
        <v>57.421783657069497</v>
      </c>
    </row>
    <row r="1888" spans="3:8" ht="15.75">
      <c r="C1888" s="66" t="s">
        <v>44</v>
      </c>
      <c r="D1888" s="67"/>
      <c r="E1888" s="67"/>
      <c r="F1888" s="68"/>
      <c r="G1888" s="69"/>
      <c r="H1888" s="53">
        <v>28011.2419362853</v>
      </c>
    </row>
    <row r="1889" spans="3:8" ht="15.75">
      <c r="C1889" s="66" t="s">
        <v>45</v>
      </c>
      <c r="D1889" s="67"/>
      <c r="E1889" s="67"/>
      <c r="F1889" s="68"/>
      <c r="G1889" s="69"/>
      <c r="H1889" s="70">
        <v>6900.6095137842403</v>
      </c>
    </row>
    <row r="1890" spans="3:8" ht="15.75">
      <c r="C1890" s="66" t="s">
        <v>46</v>
      </c>
      <c r="D1890" s="67"/>
      <c r="E1890" s="67"/>
      <c r="F1890" s="68"/>
      <c r="G1890" s="69"/>
      <c r="H1890" s="53">
        <v>34911.85</v>
      </c>
    </row>
    <row r="1891" spans="3:8">
      <c r="C1891" s="21"/>
      <c r="D1891" s="21"/>
      <c r="E1891" s="21"/>
      <c r="F1891" s="21"/>
      <c r="G1891" s="21"/>
      <c r="H1891" s="21"/>
    </row>
    <row r="1892" spans="3:8">
      <c r="C1892" s="21"/>
      <c r="D1892" s="21"/>
      <c r="E1892" s="121"/>
      <c r="F1892" s="122"/>
      <c r="G1892" s="123"/>
      <c r="H1892" s="121"/>
    </row>
  </sheetData>
  <autoFilter ref="C1:H1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A21E-523F-4DE2-AB72-B15F12ED3768}">
  <dimension ref="A1:P403"/>
  <sheetViews>
    <sheetView tabSelected="1" topLeftCell="G1" zoomScale="85" zoomScaleNormal="85" workbookViewId="0">
      <selection activeCell="N1" sqref="N1:N1048576"/>
    </sheetView>
  </sheetViews>
  <sheetFormatPr defaultRowHeight="15"/>
  <cols>
    <col min="1" max="1" width="19.5703125" style="158" customWidth="1"/>
    <col min="2" max="2" width="82.7109375" customWidth="1"/>
    <col min="3" max="3" width="17.140625" style="192" customWidth="1"/>
    <col min="4" max="5" width="17.140625" style="215" customWidth="1"/>
    <col min="6" max="6" width="22" style="197" bestFit="1" customWidth="1"/>
    <col min="7" max="7" width="27.85546875" style="197" customWidth="1"/>
    <col min="8" max="8" width="23.42578125" style="197" bestFit="1" customWidth="1"/>
    <col min="9" max="9" width="27.5703125" style="197" customWidth="1"/>
    <col min="12" max="12" width="14.140625" bestFit="1" customWidth="1"/>
    <col min="13" max="13" width="41.28515625" customWidth="1"/>
    <col min="14" max="14" width="43.42578125" customWidth="1"/>
    <col min="15" max="15" width="23.42578125" bestFit="1" customWidth="1"/>
  </cols>
  <sheetData>
    <row r="1" spans="1:15">
      <c r="A1" s="231" t="s">
        <v>279</v>
      </c>
      <c r="B1" s="231"/>
      <c r="C1" s="231"/>
      <c r="D1" s="231"/>
      <c r="E1" s="231"/>
      <c r="F1" s="231"/>
      <c r="G1" s="231"/>
      <c r="H1" s="231"/>
      <c r="I1" s="231"/>
    </row>
    <row r="2" spans="1:15">
      <c r="A2" s="154"/>
      <c r="B2" s="138"/>
      <c r="C2" s="181"/>
      <c r="D2" s="172"/>
      <c r="E2" s="172"/>
      <c r="F2" s="173"/>
      <c r="G2" s="173"/>
      <c r="H2" s="139"/>
      <c r="I2" s="140"/>
      <c r="M2" s="193"/>
    </row>
    <row r="3" spans="1:15">
      <c r="A3" s="159"/>
      <c r="B3" s="141"/>
      <c r="C3" s="182"/>
      <c r="D3" s="141"/>
      <c r="E3" s="141"/>
      <c r="F3" s="153"/>
      <c r="G3" s="153"/>
      <c r="H3" s="194"/>
      <c r="I3" s="140"/>
    </row>
    <row r="4" spans="1:15" s="143" customFormat="1" ht="21">
      <c r="A4" s="160" t="s">
        <v>1</v>
      </c>
      <c r="B4" s="155" t="s">
        <v>280</v>
      </c>
      <c r="C4" s="183" t="s">
        <v>281</v>
      </c>
      <c r="D4" s="174" t="s">
        <v>227</v>
      </c>
      <c r="E4" s="174" t="s">
        <v>282</v>
      </c>
      <c r="F4" s="175" t="s">
        <v>283</v>
      </c>
      <c r="G4" s="175" t="s">
        <v>284</v>
      </c>
      <c r="H4" s="195"/>
      <c r="I4" s="142"/>
      <c r="L4" s="226"/>
      <c r="M4" s="226" t="s">
        <v>285</v>
      </c>
      <c r="N4" s="226"/>
    </row>
    <row r="5" spans="1:15" s="145" customFormat="1" ht="18.75">
      <c r="A5" s="161" t="s">
        <v>26</v>
      </c>
      <c r="B5" s="146" t="s">
        <v>24</v>
      </c>
      <c r="C5" s="184"/>
      <c r="D5" s="216" t="s">
        <v>28</v>
      </c>
      <c r="E5" s="204">
        <v>1</v>
      </c>
      <c r="F5" s="196">
        <v>0</v>
      </c>
      <c r="G5" s="196">
        <v>0</v>
      </c>
      <c r="H5" s="196"/>
      <c r="I5" s="196"/>
      <c r="L5" s="227" t="s">
        <v>286</v>
      </c>
      <c r="M5" s="228">
        <f>SUBTOTAL(9,G5,G9,G17,G21,G39,G43,G50,G55,G59,G68,G74,G79,G84,G91,G108,G116,G132,G146,G163,G180,G196,G203,G210,G217,G224,G231,G238,G244,G250,G256,G260,G265,G272,G282,G292,G302,G312,G318,G324,G330,G336,G342,G348,G354,G361,G368,G375,G382,G389,G396)</f>
        <v>31208404.582092062</v>
      </c>
      <c r="N5" s="229"/>
      <c r="O5" s="198"/>
    </row>
    <row r="6" spans="1:15" ht="18.75">
      <c r="A6" s="156"/>
      <c r="B6" s="167" t="s">
        <v>36</v>
      </c>
      <c r="C6" s="185" t="s">
        <v>36</v>
      </c>
      <c r="D6" s="217" t="s">
        <v>28</v>
      </c>
      <c r="E6" s="205">
        <v>1</v>
      </c>
      <c r="F6" s="171">
        <v>0</v>
      </c>
      <c r="G6" s="171">
        <v>0</v>
      </c>
      <c r="H6" s="196"/>
      <c r="I6" s="196"/>
      <c r="L6" s="12" t="s">
        <v>287</v>
      </c>
      <c r="M6" s="228">
        <f>SUM(G6,G10,G18,G22,G40,G44,G51,G56,G60,G69,G75,G80,G85,G92,G109,G117,G133,G147,G164,G181,G197,G204,G211,G218,G225,G232,G239,G245,G251,G257,G261,G266,G273,G283,G293,G303,G313,G319,G325,G331,G337,G343,G349,G355,G362,G369,G376,G383,G390,G397)</f>
        <v>18521840.30829059</v>
      </c>
      <c r="N6" s="229"/>
    </row>
    <row r="7" spans="1:15" ht="18.75">
      <c r="A7" s="156"/>
      <c r="B7" s="167" t="s">
        <v>39</v>
      </c>
      <c r="C7" s="185" t="s">
        <v>39</v>
      </c>
      <c r="D7" s="217" t="s">
        <v>28</v>
      </c>
      <c r="E7" s="205">
        <v>1</v>
      </c>
      <c r="F7" s="171">
        <v>0</v>
      </c>
      <c r="G7" s="171">
        <v>0</v>
      </c>
      <c r="H7" s="196"/>
      <c r="I7" s="196"/>
      <c r="L7" s="12" t="s">
        <v>288</v>
      </c>
      <c r="M7" s="228">
        <f>SUM(G7,G11,G19,G23,G41,G45,G52,G57,G61,G70,G76,G81,G86,G93,G110,G118,G134,G148,G165,G182,G198,G205,G212,G219,G226,G233,G240,G246,G252,G258,G262,G267,G274,G284,G294,G304,G314,G320,G326,G332,G338,G344,G350,G356,G363,G370,G377,G384,G391,G398,G405,G405)</f>
        <v>8293503.321743641</v>
      </c>
      <c r="N7" s="229"/>
      <c r="O7" s="203"/>
    </row>
    <row r="8" spans="1:15" ht="18.75">
      <c r="A8" s="156"/>
      <c r="B8" s="167" t="s">
        <v>42</v>
      </c>
      <c r="C8" s="185" t="s">
        <v>42</v>
      </c>
      <c r="D8" s="217" t="s">
        <v>28</v>
      </c>
      <c r="E8" s="205">
        <v>1</v>
      </c>
      <c r="F8" s="171">
        <v>0</v>
      </c>
      <c r="G8" s="171">
        <v>0</v>
      </c>
      <c r="H8" s="196"/>
      <c r="I8" s="196"/>
      <c r="L8" s="12" t="s">
        <v>289</v>
      </c>
      <c r="M8" s="230">
        <f>SUBTOTAL(9,G8,G13,G20,G32,G42,G49,G54,G58,G66,G73,G78,G82,G88,G101,G115,G126,G141,G156,G173,G189,G200,G207,G214,G221,G228,G235,G242,G248,G254,G259,G263,G269,G278,G288,G298,G308,G315,G321,G327,G333,G339,G345,G351,G358,G365,G372,G379,G386,G393,G401)</f>
        <v>4393060.9520578356</v>
      </c>
      <c r="N8" s="230"/>
      <c r="O8" s="199"/>
    </row>
    <row r="9" spans="1:15" s="145" customFormat="1" ht="18.75">
      <c r="A9" s="161" t="s">
        <v>48</v>
      </c>
      <c r="B9" s="146" t="s">
        <v>47</v>
      </c>
      <c r="C9" s="184"/>
      <c r="D9" s="216" t="s">
        <v>28</v>
      </c>
      <c r="E9" s="204">
        <v>1</v>
      </c>
      <c r="F9" s="196">
        <f>(F10+F11+F13)</f>
        <v>215111.35994674111</v>
      </c>
      <c r="G9" s="196">
        <f>(G10+G11+G13)</f>
        <v>215111.35994674111</v>
      </c>
      <c r="H9" s="196"/>
      <c r="I9" s="196"/>
    </row>
    <row r="10" spans="1:15" ht="18.75">
      <c r="A10" s="156"/>
      <c r="B10" s="167" t="s">
        <v>36</v>
      </c>
      <c r="C10" s="185" t="s">
        <v>36</v>
      </c>
      <c r="D10" s="217" t="s">
        <v>28</v>
      </c>
      <c r="E10" s="205">
        <v>1</v>
      </c>
      <c r="F10" s="168">
        <v>41206.359946741119</v>
      </c>
      <c r="G10" s="171">
        <f>(E10*F10)</f>
        <v>41206.359946741119</v>
      </c>
      <c r="H10" s="196"/>
      <c r="I10" s="196"/>
    </row>
    <row r="11" spans="1:15" ht="18.75">
      <c r="A11" s="156"/>
      <c r="B11" s="167" t="s">
        <v>39</v>
      </c>
      <c r="C11" s="185" t="s">
        <v>39</v>
      </c>
      <c r="D11" s="217" t="s">
        <v>28</v>
      </c>
      <c r="E11" s="205">
        <v>1</v>
      </c>
      <c r="F11" s="171">
        <f>(F12)</f>
        <v>100000</v>
      </c>
      <c r="G11" s="171">
        <f>(E11*F11)</f>
        <v>100000</v>
      </c>
      <c r="H11" s="196"/>
      <c r="I11" s="196"/>
    </row>
    <row r="12" spans="1:15" ht="18.75">
      <c r="A12" s="156"/>
      <c r="B12" s="125" t="s">
        <v>54</v>
      </c>
      <c r="C12" s="186" t="s">
        <v>290</v>
      </c>
      <c r="D12" s="176" t="s">
        <v>28</v>
      </c>
      <c r="E12" s="206">
        <v>1</v>
      </c>
      <c r="F12" s="218">
        <v>100000</v>
      </c>
      <c r="G12" s="218"/>
      <c r="H12" s="196"/>
      <c r="I12" s="196"/>
    </row>
    <row r="13" spans="1:15" ht="18.75">
      <c r="A13" s="156"/>
      <c r="B13" s="167" t="s">
        <v>42</v>
      </c>
      <c r="C13" s="185" t="s">
        <v>42</v>
      </c>
      <c r="D13" s="217" t="s">
        <v>28</v>
      </c>
      <c r="E13" s="205">
        <v>1</v>
      </c>
      <c r="F13" s="171">
        <f>SUM(F14:F16)</f>
        <v>73905</v>
      </c>
      <c r="G13" s="171">
        <f>(E13*F13)</f>
        <v>73905</v>
      </c>
      <c r="H13" s="196"/>
      <c r="I13" s="196"/>
    </row>
    <row r="14" spans="1:15" ht="30">
      <c r="A14" s="156"/>
      <c r="B14" s="126" t="s">
        <v>56</v>
      </c>
      <c r="C14" s="187" t="s">
        <v>291</v>
      </c>
      <c r="D14" s="176" t="s">
        <v>28</v>
      </c>
      <c r="E14" s="206">
        <v>1</v>
      </c>
      <c r="F14" s="137">
        <v>0</v>
      </c>
      <c r="G14" s="218">
        <f t="shared" ref="G14:G20" si="0">(E14*F14)</f>
        <v>0</v>
      </c>
      <c r="H14" s="196"/>
      <c r="I14" s="196"/>
    </row>
    <row r="15" spans="1:15" ht="18.75">
      <c r="A15" s="156"/>
      <c r="B15" s="126" t="s">
        <v>58</v>
      </c>
      <c r="C15" s="188" t="s">
        <v>58</v>
      </c>
      <c r="D15" s="176" t="s">
        <v>28</v>
      </c>
      <c r="E15" s="206">
        <v>1</v>
      </c>
      <c r="F15" s="137">
        <v>61200</v>
      </c>
      <c r="G15" s="218">
        <f t="shared" si="0"/>
        <v>61200</v>
      </c>
      <c r="H15" s="196"/>
      <c r="I15" s="196"/>
    </row>
    <row r="16" spans="1:15" ht="18.75">
      <c r="A16" s="156"/>
      <c r="B16" s="126" t="s">
        <v>60</v>
      </c>
      <c r="C16" s="188" t="s">
        <v>60</v>
      </c>
      <c r="D16" s="176" t="s">
        <v>28</v>
      </c>
      <c r="E16" s="206">
        <v>1</v>
      </c>
      <c r="F16" s="137">
        <v>12705</v>
      </c>
      <c r="G16" s="218">
        <f t="shared" si="0"/>
        <v>12705</v>
      </c>
      <c r="H16" s="196"/>
      <c r="I16" s="196"/>
    </row>
    <row r="17" spans="1:9" s="145" customFormat="1" ht="37.5">
      <c r="A17" s="161" t="s">
        <v>62</v>
      </c>
      <c r="B17" s="146" t="s">
        <v>61</v>
      </c>
      <c r="C17" s="184"/>
      <c r="D17" s="216" t="s">
        <v>28</v>
      </c>
      <c r="E17" s="204">
        <v>1</v>
      </c>
      <c r="F17" s="196">
        <f>SUM(F18:F20)</f>
        <v>0</v>
      </c>
      <c r="G17" s="218">
        <f t="shared" si="0"/>
        <v>0</v>
      </c>
      <c r="H17" s="196"/>
      <c r="I17" s="196"/>
    </row>
    <row r="18" spans="1:9" ht="18.75">
      <c r="A18" s="156"/>
      <c r="B18" s="164" t="s">
        <v>36</v>
      </c>
      <c r="C18" s="189" t="s">
        <v>36</v>
      </c>
      <c r="D18" s="177" t="s">
        <v>28</v>
      </c>
      <c r="E18" s="207">
        <v>1</v>
      </c>
      <c r="F18" s="166">
        <v>0</v>
      </c>
      <c r="G18" s="166">
        <f t="shared" si="0"/>
        <v>0</v>
      </c>
      <c r="H18" s="196"/>
      <c r="I18" s="196"/>
    </row>
    <row r="19" spans="1:9" ht="18.75">
      <c r="A19" s="156"/>
      <c r="B19" s="164" t="s">
        <v>39</v>
      </c>
      <c r="C19" s="189" t="s">
        <v>39</v>
      </c>
      <c r="D19" s="177" t="s">
        <v>28</v>
      </c>
      <c r="E19" s="207">
        <v>1</v>
      </c>
      <c r="F19" s="166">
        <v>0</v>
      </c>
      <c r="G19" s="166">
        <f t="shared" si="0"/>
        <v>0</v>
      </c>
      <c r="H19" s="196"/>
      <c r="I19" s="196"/>
    </row>
    <row r="20" spans="1:9" ht="18.75">
      <c r="A20" s="156"/>
      <c r="B20" s="164" t="s">
        <v>42</v>
      </c>
      <c r="C20" s="189" t="s">
        <v>42</v>
      </c>
      <c r="D20" s="177" t="s">
        <v>28</v>
      </c>
      <c r="E20" s="207">
        <v>1</v>
      </c>
      <c r="F20" s="166">
        <v>0</v>
      </c>
      <c r="G20" s="166">
        <f t="shared" si="0"/>
        <v>0</v>
      </c>
      <c r="H20" s="196"/>
      <c r="I20" s="196"/>
    </row>
    <row r="21" spans="1:9" s="145" customFormat="1" ht="18.75">
      <c r="A21" s="161" t="s">
        <v>64</v>
      </c>
      <c r="B21" s="146" t="s">
        <v>63</v>
      </c>
      <c r="C21" s="184"/>
      <c r="D21" s="216" t="s">
        <v>65</v>
      </c>
      <c r="E21" s="204">
        <v>12</v>
      </c>
      <c r="F21" s="196">
        <f>SUM(F22,F23,F32)</f>
        <v>98626.542860008834</v>
      </c>
      <c r="G21" s="196">
        <f>(F21*E21)</f>
        <v>1183518.514320106</v>
      </c>
      <c r="H21" s="196"/>
      <c r="I21" s="196"/>
    </row>
    <row r="22" spans="1:9" ht="18.75">
      <c r="A22" s="156"/>
      <c r="B22" s="167" t="s">
        <v>36</v>
      </c>
      <c r="C22" s="185" t="s">
        <v>36</v>
      </c>
      <c r="D22" s="217" t="s">
        <v>65</v>
      </c>
      <c r="E22" s="208">
        <v>12</v>
      </c>
      <c r="F22" s="168">
        <v>5931.2395973586672</v>
      </c>
      <c r="G22" s="169">
        <f>(E22*F22)</f>
        <v>71174.875168304003</v>
      </c>
      <c r="H22" s="196"/>
      <c r="I22" s="196"/>
    </row>
    <row r="23" spans="1:9" ht="18.75">
      <c r="A23" s="156"/>
      <c r="B23" s="167" t="s">
        <v>39</v>
      </c>
      <c r="C23" s="185" t="s">
        <v>39</v>
      </c>
      <c r="D23" s="217" t="s">
        <v>65</v>
      </c>
      <c r="E23" s="208">
        <v>12</v>
      </c>
      <c r="F23" s="169">
        <f>SUM(F24:F31)</f>
        <v>56745.303262650174</v>
      </c>
      <c r="G23" s="169">
        <f>(E23*F23)</f>
        <v>680943.63915180205</v>
      </c>
      <c r="H23" s="196"/>
      <c r="I23" s="196"/>
    </row>
    <row r="24" spans="1:9" ht="18.75">
      <c r="A24" s="156"/>
      <c r="B24" s="135" t="s">
        <v>68</v>
      </c>
      <c r="C24" s="186" t="s">
        <v>292</v>
      </c>
      <c r="D24" s="176" t="s">
        <v>65</v>
      </c>
      <c r="E24" s="206">
        <v>12</v>
      </c>
      <c r="F24" s="137">
        <v>2178</v>
      </c>
      <c r="G24" s="218">
        <f t="shared" ref="G24:G43" si="1">(E24*F24)</f>
        <v>26136</v>
      </c>
      <c r="H24" s="196"/>
      <c r="I24" s="196"/>
    </row>
    <row r="25" spans="1:9" ht="18.75">
      <c r="A25" s="156"/>
      <c r="B25" s="135" t="s">
        <v>70</v>
      </c>
      <c r="C25" s="186" t="s">
        <v>292</v>
      </c>
      <c r="D25" s="176" t="s">
        <v>65</v>
      </c>
      <c r="E25" s="206">
        <v>12</v>
      </c>
      <c r="F25" s="137">
        <v>5445</v>
      </c>
      <c r="G25" s="218">
        <f t="shared" si="1"/>
        <v>65340</v>
      </c>
      <c r="H25" s="196"/>
      <c r="I25" s="196"/>
    </row>
    <row r="26" spans="1:9" ht="18.75">
      <c r="A26" s="156"/>
      <c r="B26" s="135" t="s">
        <v>71</v>
      </c>
      <c r="C26" s="186" t="s">
        <v>292</v>
      </c>
      <c r="D26" s="176" t="s">
        <v>65</v>
      </c>
      <c r="E26" s="206">
        <v>12</v>
      </c>
      <c r="F26" s="137">
        <v>3256.0000000000005</v>
      </c>
      <c r="G26" s="218">
        <f t="shared" si="1"/>
        <v>39072.000000000007</v>
      </c>
      <c r="H26" s="196"/>
      <c r="I26" s="196"/>
    </row>
    <row r="27" spans="1:9" ht="18.75">
      <c r="A27" s="156"/>
      <c r="B27" s="135" t="s">
        <v>72</v>
      </c>
      <c r="C27" s="186" t="s">
        <v>292</v>
      </c>
      <c r="D27" s="176" t="s">
        <v>65</v>
      </c>
      <c r="E27" s="206">
        <v>12</v>
      </c>
      <c r="F27" s="137">
        <v>1699.5000000000002</v>
      </c>
      <c r="G27" s="218">
        <f t="shared" si="1"/>
        <v>20394.000000000004</v>
      </c>
      <c r="H27" s="196"/>
      <c r="I27" s="196"/>
    </row>
    <row r="28" spans="1:9" ht="18.75">
      <c r="A28" s="156"/>
      <c r="B28" s="135" t="s">
        <v>73</v>
      </c>
      <c r="C28" s="186" t="s">
        <v>292</v>
      </c>
      <c r="D28" s="176" t="s">
        <v>65</v>
      </c>
      <c r="E28" s="206">
        <v>12</v>
      </c>
      <c r="F28" s="137">
        <v>5098.5000000000009</v>
      </c>
      <c r="G28" s="218">
        <f t="shared" si="1"/>
        <v>61182.000000000015</v>
      </c>
      <c r="H28" s="196"/>
      <c r="I28" s="196"/>
    </row>
    <row r="29" spans="1:9" ht="30">
      <c r="A29" s="156"/>
      <c r="B29" s="135" t="s">
        <v>74</v>
      </c>
      <c r="C29" s="187" t="s">
        <v>293</v>
      </c>
      <c r="D29" s="176" t="s">
        <v>65</v>
      </c>
      <c r="E29" s="206">
        <v>12</v>
      </c>
      <c r="F29" s="137">
        <v>6800</v>
      </c>
      <c r="G29" s="218">
        <f t="shared" si="1"/>
        <v>81600</v>
      </c>
      <c r="H29" s="196"/>
      <c r="I29" s="196"/>
    </row>
    <row r="30" spans="1:9" ht="30">
      <c r="A30" s="156"/>
      <c r="B30" s="135" t="s">
        <v>75</v>
      </c>
      <c r="C30" s="187" t="s">
        <v>294</v>
      </c>
      <c r="D30" s="176" t="s">
        <v>65</v>
      </c>
      <c r="E30" s="206">
        <v>12</v>
      </c>
      <c r="F30" s="137">
        <v>8000</v>
      </c>
      <c r="G30" s="218">
        <f t="shared" si="1"/>
        <v>96000</v>
      </c>
      <c r="H30" s="196"/>
      <c r="I30" s="196"/>
    </row>
    <row r="31" spans="1:9" ht="18.75">
      <c r="A31" s="156"/>
      <c r="B31" s="135" t="s">
        <v>76</v>
      </c>
      <c r="C31" s="186" t="s">
        <v>295</v>
      </c>
      <c r="D31" s="176" t="s">
        <v>65</v>
      </c>
      <c r="E31" s="206">
        <v>12</v>
      </c>
      <c r="F31" s="137">
        <v>24268.303262650174</v>
      </c>
      <c r="G31" s="218">
        <f t="shared" si="1"/>
        <v>291219.63915180205</v>
      </c>
      <c r="H31" s="196"/>
      <c r="I31" s="196"/>
    </row>
    <row r="32" spans="1:9" ht="18.75">
      <c r="A32" s="156"/>
      <c r="B32" s="167" t="s">
        <v>42</v>
      </c>
      <c r="C32" s="185" t="s">
        <v>42</v>
      </c>
      <c r="D32" s="217" t="s">
        <v>65</v>
      </c>
      <c r="E32" s="208">
        <v>12</v>
      </c>
      <c r="F32" s="170">
        <f>SUM(F33:F38)</f>
        <v>35950</v>
      </c>
      <c r="G32" s="169">
        <f t="shared" si="1"/>
        <v>431400</v>
      </c>
      <c r="H32" s="196"/>
      <c r="I32" s="196"/>
    </row>
    <row r="33" spans="1:16" ht="30">
      <c r="A33" s="156"/>
      <c r="B33" s="136" t="s">
        <v>78</v>
      </c>
      <c r="C33" s="187" t="s">
        <v>296</v>
      </c>
      <c r="D33" s="176" t="s">
        <v>65</v>
      </c>
      <c r="E33" s="206">
        <v>12</v>
      </c>
      <c r="F33" s="137">
        <v>4500</v>
      </c>
      <c r="G33" s="218">
        <f t="shared" si="1"/>
        <v>54000</v>
      </c>
      <c r="H33" s="196"/>
      <c r="I33" s="196"/>
    </row>
    <row r="34" spans="1:16" ht="30">
      <c r="A34" s="156"/>
      <c r="B34" s="136" t="s">
        <v>80</v>
      </c>
      <c r="C34" s="187" t="s">
        <v>297</v>
      </c>
      <c r="D34" s="176" t="s">
        <v>65</v>
      </c>
      <c r="E34" s="206">
        <v>12</v>
      </c>
      <c r="F34" s="137">
        <v>2200</v>
      </c>
      <c r="G34" s="218">
        <f t="shared" si="1"/>
        <v>26400</v>
      </c>
      <c r="H34" s="196"/>
      <c r="I34" s="196"/>
    </row>
    <row r="35" spans="1:16" ht="18.75">
      <c r="A35" s="156"/>
      <c r="B35" s="136" t="s">
        <v>81</v>
      </c>
      <c r="C35" s="186" t="s">
        <v>298</v>
      </c>
      <c r="D35" s="176" t="s">
        <v>65</v>
      </c>
      <c r="E35" s="206">
        <v>12</v>
      </c>
      <c r="F35" s="137">
        <v>1500</v>
      </c>
      <c r="G35" s="218">
        <f t="shared" si="1"/>
        <v>18000</v>
      </c>
      <c r="H35" s="196"/>
      <c r="I35" s="196"/>
    </row>
    <row r="36" spans="1:16" ht="18.75">
      <c r="A36" s="156"/>
      <c r="B36" s="136" t="s">
        <v>82</v>
      </c>
      <c r="C36" s="186" t="s">
        <v>299</v>
      </c>
      <c r="D36" s="176" t="s">
        <v>65</v>
      </c>
      <c r="E36" s="206">
        <v>12</v>
      </c>
      <c r="F36" s="137">
        <v>1950</v>
      </c>
      <c r="G36" s="218">
        <f t="shared" si="1"/>
        <v>23400</v>
      </c>
      <c r="H36" s="196"/>
      <c r="I36" s="196"/>
    </row>
    <row r="37" spans="1:16" ht="18.75">
      <c r="A37" s="156"/>
      <c r="B37" s="136" t="s">
        <v>83</v>
      </c>
      <c r="C37" s="186" t="s">
        <v>300</v>
      </c>
      <c r="D37" s="176" t="s">
        <v>65</v>
      </c>
      <c r="E37" s="206">
        <v>12</v>
      </c>
      <c r="F37" s="137">
        <v>24000</v>
      </c>
      <c r="G37" s="218">
        <f t="shared" si="1"/>
        <v>288000</v>
      </c>
      <c r="H37" s="196"/>
      <c r="I37" s="196"/>
    </row>
    <row r="38" spans="1:16" ht="18.75">
      <c r="A38" s="156"/>
      <c r="B38" s="136" t="s">
        <v>84</v>
      </c>
      <c r="C38" s="186" t="s">
        <v>301</v>
      </c>
      <c r="D38" s="176" t="s">
        <v>65</v>
      </c>
      <c r="E38" s="206">
        <v>12</v>
      </c>
      <c r="F38" s="137">
        <v>1800</v>
      </c>
      <c r="G38" s="218">
        <f t="shared" si="1"/>
        <v>21600</v>
      </c>
      <c r="H38" s="196"/>
      <c r="I38" s="196"/>
    </row>
    <row r="39" spans="1:16" s="145" customFormat="1" ht="37.5">
      <c r="A39" s="161" t="s">
        <v>116</v>
      </c>
      <c r="B39" s="146" t="s">
        <v>115</v>
      </c>
      <c r="C39" s="184"/>
      <c r="D39" s="216" t="s">
        <v>28</v>
      </c>
      <c r="E39" s="204">
        <v>1</v>
      </c>
      <c r="F39" s="196">
        <v>0</v>
      </c>
      <c r="G39" s="218">
        <f t="shared" si="1"/>
        <v>0</v>
      </c>
      <c r="H39" s="196"/>
      <c r="I39" s="196"/>
    </row>
    <row r="40" spans="1:16" ht="18.75">
      <c r="A40" s="156"/>
      <c r="B40" s="167" t="s">
        <v>36</v>
      </c>
      <c r="C40" s="185" t="s">
        <v>36</v>
      </c>
      <c r="D40" s="205" t="s">
        <v>28</v>
      </c>
      <c r="E40" s="205">
        <v>1</v>
      </c>
      <c r="F40" s="171">
        <v>0</v>
      </c>
      <c r="G40" s="171">
        <f t="shared" si="1"/>
        <v>0</v>
      </c>
      <c r="H40" s="196"/>
      <c r="I40" s="196"/>
    </row>
    <row r="41" spans="1:16" ht="18.75">
      <c r="A41" s="156"/>
      <c r="B41" s="167" t="s">
        <v>39</v>
      </c>
      <c r="C41" s="185" t="s">
        <v>39</v>
      </c>
      <c r="D41" s="205" t="s">
        <v>28</v>
      </c>
      <c r="E41" s="205">
        <v>1</v>
      </c>
      <c r="F41" s="171">
        <v>0</v>
      </c>
      <c r="G41" s="171">
        <f t="shared" si="1"/>
        <v>0</v>
      </c>
      <c r="H41" s="196"/>
      <c r="I41" s="196"/>
    </row>
    <row r="42" spans="1:16" ht="18.75">
      <c r="A42" s="156"/>
      <c r="B42" s="167" t="s">
        <v>42</v>
      </c>
      <c r="C42" s="185" t="s">
        <v>42</v>
      </c>
      <c r="D42" s="205" t="s">
        <v>28</v>
      </c>
      <c r="E42" s="205">
        <v>1</v>
      </c>
      <c r="F42" s="171">
        <v>0</v>
      </c>
      <c r="G42" s="171">
        <f t="shared" si="1"/>
        <v>0</v>
      </c>
      <c r="H42" s="196"/>
      <c r="I42" s="196"/>
    </row>
    <row r="43" spans="1:16" s="145" customFormat="1" ht="18.75">
      <c r="A43" s="161" t="s">
        <v>87</v>
      </c>
      <c r="B43" s="146" t="s">
        <v>86</v>
      </c>
      <c r="C43" s="184"/>
      <c r="D43" s="216" t="s">
        <v>28</v>
      </c>
      <c r="E43" s="204">
        <v>1</v>
      </c>
      <c r="F43" s="196">
        <f>SUM(F44,F45,F49)</f>
        <v>6352156.9005183475</v>
      </c>
      <c r="G43" s="218">
        <f t="shared" si="1"/>
        <v>6352156.9005183475</v>
      </c>
      <c r="H43" s="196"/>
      <c r="I43" s="196"/>
    </row>
    <row r="44" spans="1:16" ht="18.75">
      <c r="A44" s="156"/>
      <c r="B44" s="167" t="s">
        <v>36</v>
      </c>
      <c r="C44" s="185" t="s">
        <v>36</v>
      </c>
      <c r="D44" s="217" t="s">
        <v>28</v>
      </c>
      <c r="E44" s="205">
        <v>1</v>
      </c>
      <c r="F44" s="168">
        <v>4808656.9005183475</v>
      </c>
      <c r="G44" s="171">
        <f>SUM(E44*F44)</f>
        <v>4808656.9005183475</v>
      </c>
      <c r="H44" s="196"/>
      <c r="I44" s="196"/>
    </row>
    <row r="45" spans="1:16" ht="18.75">
      <c r="A45" s="156"/>
      <c r="B45" s="167" t="s">
        <v>39</v>
      </c>
      <c r="C45" s="185" t="s">
        <v>39</v>
      </c>
      <c r="D45" s="217" t="s">
        <v>28</v>
      </c>
      <c r="E45" s="205">
        <v>1</v>
      </c>
      <c r="F45" s="168">
        <f>SUM(F46:F48)</f>
        <v>1543500</v>
      </c>
      <c r="G45" s="171">
        <f>SUM(E45*F45)</f>
        <v>1543500</v>
      </c>
      <c r="H45" s="196"/>
      <c r="I45" s="196"/>
    </row>
    <row r="46" spans="1:16" ht="18.75">
      <c r="A46" s="156"/>
      <c r="B46" s="135" t="s">
        <v>112</v>
      </c>
      <c r="C46" s="186" t="s">
        <v>302</v>
      </c>
      <c r="D46" s="176" t="s">
        <v>28</v>
      </c>
      <c r="E46" s="206">
        <v>1</v>
      </c>
      <c r="F46" s="137">
        <v>1173000</v>
      </c>
      <c r="G46" s="218">
        <f t="shared" ref="G46:G49" si="2">SUM(E46*F46)</f>
        <v>1173000</v>
      </c>
      <c r="H46" s="196"/>
      <c r="I46" s="196"/>
      <c r="J46" s="127"/>
      <c r="K46" s="128"/>
      <c r="L46" s="129"/>
      <c r="M46" s="128"/>
      <c r="N46" s="130"/>
      <c r="O46" s="130"/>
      <c r="P46" s="128"/>
    </row>
    <row r="47" spans="1:16" ht="18.75">
      <c r="A47" s="156"/>
      <c r="B47" s="135" t="s">
        <v>113</v>
      </c>
      <c r="C47" s="186" t="s">
        <v>303</v>
      </c>
      <c r="D47" s="176" t="s">
        <v>28</v>
      </c>
      <c r="E47" s="206">
        <v>1</v>
      </c>
      <c r="F47" s="137">
        <v>136000</v>
      </c>
      <c r="G47" s="218">
        <f t="shared" si="2"/>
        <v>136000</v>
      </c>
      <c r="H47" s="196"/>
      <c r="I47" s="196"/>
      <c r="J47" s="131"/>
      <c r="K47" s="131"/>
      <c r="L47" s="129"/>
      <c r="M47" s="128"/>
      <c r="N47" s="132"/>
      <c r="O47" s="130"/>
      <c r="P47" s="128"/>
    </row>
    <row r="48" spans="1:16" ht="18.75">
      <c r="A48" s="156"/>
      <c r="B48" s="135" t="s">
        <v>114</v>
      </c>
      <c r="C48" s="186" t="s">
        <v>304</v>
      </c>
      <c r="D48" s="176" t="s">
        <v>28</v>
      </c>
      <c r="E48" s="206">
        <v>1</v>
      </c>
      <c r="F48" s="137">
        <v>234500</v>
      </c>
      <c r="G48" s="218">
        <f t="shared" si="2"/>
        <v>234500</v>
      </c>
      <c r="H48" s="196"/>
      <c r="I48" s="196"/>
      <c r="J48" s="131"/>
      <c r="K48" s="131"/>
      <c r="L48" s="129"/>
      <c r="M48" s="128"/>
      <c r="N48" s="132"/>
      <c r="O48" s="130"/>
      <c r="P48" s="128"/>
    </row>
    <row r="49" spans="1:16" ht="18.75">
      <c r="A49" s="156"/>
      <c r="B49" s="167" t="s">
        <v>42</v>
      </c>
      <c r="C49" s="185" t="s">
        <v>42</v>
      </c>
      <c r="D49" s="217" t="s">
        <v>28</v>
      </c>
      <c r="E49" s="205">
        <v>1</v>
      </c>
      <c r="F49" s="171">
        <v>0</v>
      </c>
      <c r="G49" s="171">
        <f t="shared" si="2"/>
        <v>0</v>
      </c>
      <c r="H49" s="196"/>
      <c r="I49" s="196"/>
      <c r="J49" s="133"/>
      <c r="K49" s="128"/>
      <c r="L49" s="129"/>
      <c r="M49" s="128"/>
      <c r="N49" s="134"/>
      <c r="O49" s="130"/>
      <c r="P49" s="128"/>
    </row>
    <row r="50" spans="1:16" s="145" customFormat="1" ht="18.75">
      <c r="A50" s="161" t="s">
        <v>118</v>
      </c>
      <c r="B50" s="146" t="s">
        <v>117</v>
      </c>
      <c r="C50" s="184"/>
      <c r="D50" s="204"/>
      <c r="E50" s="204">
        <v>12</v>
      </c>
      <c r="F50" s="196">
        <f>SUM(F51,F52,F54)</f>
        <v>35500</v>
      </c>
      <c r="G50" s="196">
        <f t="shared" ref="G50:G56" si="3">(F50*E50)</f>
        <v>426000</v>
      </c>
      <c r="H50" s="196"/>
      <c r="I50" s="196"/>
      <c r="J50" s="149"/>
      <c r="L50" s="150"/>
      <c r="N50" s="151"/>
      <c r="O50" s="152"/>
    </row>
    <row r="51" spans="1:16" ht="18.75">
      <c r="A51" s="156"/>
      <c r="B51" s="167" t="s">
        <v>36</v>
      </c>
      <c r="C51" s="185" t="s">
        <v>36</v>
      </c>
      <c r="D51" s="217" t="s">
        <v>119</v>
      </c>
      <c r="E51" s="205">
        <v>12</v>
      </c>
      <c r="F51" s="168">
        <v>10500</v>
      </c>
      <c r="G51" s="171">
        <f t="shared" si="3"/>
        <v>126000</v>
      </c>
      <c r="H51" s="196"/>
      <c r="I51" s="196"/>
      <c r="J51" s="133"/>
      <c r="K51" s="128"/>
      <c r="L51" s="129"/>
      <c r="M51" s="128"/>
      <c r="N51" s="134"/>
      <c r="O51" s="130"/>
      <c r="P51" s="128"/>
    </row>
    <row r="52" spans="1:16" ht="18.75">
      <c r="A52" s="156"/>
      <c r="B52" s="167" t="s">
        <v>39</v>
      </c>
      <c r="C52" s="185" t="s">
        <v>39</v>
      </c>
      <c r="D52" s="217" t="s">
        <v>119</v>
      </c>
      <c r="E52" s="205">
        <v>12</v>
      </c>
      <c r="F52" s="168">
        <f>(F53)</f>
        <v>25000</v>
      </c>
      <c r="G52" s="171">
        <f t="shared" si="3"/>
        <v>300000</v>
      </c>
      <c r="H52" s="196"/>
      <c r="I52" s="196"/>
      <c r="J52" s="131"/>
      <c r="K52" s="131"/>
      <c r="L52" s="129"/>
      <c r="M52" s="128"/>
      <c r="N52" s="130"/>
      <c r="O52" s="130"/>
      <c r="P52" s="128"/>
    </row>
    <row r="53" spans="1:16" ht="18.75">
      <c r="A53" s="156"/>
      <c r="B53" s="126" t="s">
        <v>121</v>
      </c>
      <c r="C53" s="188" t="s">
        <v>290</v>
      </c>
      <c r="D53" s="176" t="s">
        <v>119</v>
      </c>
      <c r="E53" s="206">
        <v>12</v>
      </c>
      <c r="F53" s="137">
        <v>25000</v>
      </c>
      <c r="G53" s="218">
        <f t="shared" si="3"/>
        <v>300000</v>
      </c>
      <c r="H53" s="196"/>
      <c r="I53" s="196"/>
    </row>
    <row r="54" spans="1:16" ht="18.75">
      <c r="A54" s="156"/>
      <c r="B54" s="167" t="s">
        <v>42</v>
      </c>
      <c r="C54" s="185" t="s">
        <v>42</v>
      </c>
      <c r="D54" s="217" t="s">
        <v>119</v>
      </c>
      <c r="E54" s="205">
        <v>12</v>
      </c>
      <c r="F54" s="168">
        <v>0</v>
      </c>
      <c r="G54" s="171">
        <f t="shared" si="3"/>
        <v>0</v>
      </c>
      <c r="H54" s="196"/>
      <c r="I54" s="196"/>
    </row>
    <row r="55" spans="1:16" s="145" customFormat="1" ht="37.5">
      <c r="A55" s="161" t="s">
        <v>123</v>
      </c>
      <c r="B55" s="146" t="s">
        <v>122</v>
      </c>
      <c r="C55" s="184"/>
      <c r="D55" s="204" t="s">
        <v>305</v>
      </c>
      <c r="E55" s="209">
        <v>195</v>
      </c>
      <c r="F55" s="196">
        <f>SUM(F56,F57,F58)</f>
        <v>1965.625</v>
      </c>
      <c r="G55" s="196">
        <f t="shared" si="3"/>
        <v>383296.875</v>
      </c>
      <c r="H55" s="196"/>
      <c r="I55" s="196"/>
    </row>
    <row r="56" spans="1:16" ht="18.75">
      <c r="A56" s="156"/>
      <c r="B56" s="167" t="s">
        <v>36</v>
      </c>
      <c r="C56" s="185" t="s">
        <v>36</v>
      </c>
      <c r="D56" s="205" t="s">
        <v>305</v>
      </c>
      <c r="E56" s="210">
        <v>195</v>
      </c>
      <c r="F56" s="168">
        <v>1965.625</v>
      </c>
      <c r="G56" s="171">
        <f t="shared" si="3"/>
        <v>383296.875</v>
      </c>
      <c r="H56" s="196"/>
      <c r="I56" s="196"/>
    </row>
    <row r="57" spans="1:16" ht="18.75">
      <c r="A57" s="156"/>
      <c r="B57" s="167" t="s">
        <v>39</v>
      </c>
      <c r="C57" s="185" t="s">
        <v>39</v>
      </c>
      <c r="D57" s="205" t="s">
        <v>305</v>
      </c>
      <c r="E57" s="210">
        <v>195</v>
      </c>
      <c r="F57" s="171">
        <v>0</v>
      </c>
      <c r="G57" s="171">
        <f t="shared" ref="G57:G58" si="4">(F57*E57)</f>
        <v>0</v>
      </c>
      <c r="H57" s="196"/>
      <c r="I57" s="196"/>
    </row>
    <row r="58" spans="1:16" ht="18.75">
      <c r="A58" s="156"/>
      <c r="B58" s="167" t="s">
        <v>42</v>
      </c>
      <c r="C58" s="185" t="s">
        <v>42</v>
      </c>
      <c r="D58" s="205" t="s">
        <v>305</v>
      </c>
      <c r="E58" s="210">
        <v>195</v>
      </c>
      <c r="F58" s="171">
        <v>0</v>
      </c>
      <c r="G58" s="171">
        <f t="shared" si="4"/>
        <v>0</v>
      </c>
      <c r="H58" s="196"/>
      <c r="I58" s="196"/>
    </row>
    <row r="59" spans="1:16" s="145" customFormat="1" ht="18.75">
      <c r="A59" s="161" t="s">
        <v>127</v>
      </c>
      <c r="B59" s="146" t="s">
        <v>126</v>
      </c>
      <c r="C59" s="184"/>
      <c r="D59" s="216" t="s">
        <v>128</v>
      </c>
      <c r="E59" s="209">
        <v>1500</v>
      </c>
      <c r="F59" s="196">
        <f>(F60+F61+F66)</f>
        <v>301.13340895864923</v>
      </c>
      <c r="G59" s="196">
        <f>(F59*E59)</f>
        <v>451700.11343797384</v>
      </c>
      <c r="H59" s="196"/>
      <c r="I59" s="196"/>
    </row>
    <row r="60" spans="1:16" ht="18.75">
      <c r="A60" s="156"/>
      <c r="B60" s="167" t="s">
        <v>36</v>
      </c>
      <c r="C60" s="185" t="s">
        <v>36</v>
      </c>
      <c r="D60" s="217" t="s">
        <v>128</v>
      </c>
      <c r="E60" s="209">
        <v>1500</v>
      </c>
      <c r="F60" s="168">
        <v>173.0399052051863</v>
      </c>
      <c r="G60" s="171">
        <f t="shared" ref="G60:G123" si="5">(F60*E60)</f>
        <v>259559.85780777945</v>
      </c>
      <c r="H60" s="196"/>
      <c r="I60" s="196"/>
    </row>
    <row r="61" spans="1:16" ht="18.75">
      <c r="A61" s="156"/>
      <c r="B61" s="167" t="s">
        <v>39</v>
      </c>
      <c r="C61" s="185" t="s">
        <v>39</v>
      </c>
      <c r="D61" s="217" t="s">
        <v>128</v>
      </c>
      <c r="E61" s="209">
        <v>1500</v>
      </c>
      <c r="F61" s="168">
        <f>SUM(F62:F65)</f>
        <v>106.74458646121914</v>
      </c>
      <c r="G61" s="171">
        <f t="shared" si="5"/>
        <v>160116.87969182871</v>
      </c>
      <c r="H61" s="196"/>
      <c r="I61" s="196"/>
    </row>
    <row r="62" spans="1:16" ht="18.75">
      <c r="A62" s="156"/>
      <c r="B62" s="135" t="s">
        <v>136</v>
      </c>
      <c r="C62" s="186" t="s">
        <v>16</v>
      </c>
      <c r="D62" s="176" t="s">
        <v>128</v>
      </c>
      <c r="E62" s="209">
        <v>1500</v>
      </c>
      <c r="F62" s="137">
        <v>8.4356953787528344</v>
      </c>
      <c r="G62" s="218">
        <f t="shared" si="5"/>
        <v>12653.543068129251</v>
      </c>
      <c r="H62" s="196"/>
      <c r="I62" s="196"/>
    </row>
    <row r="63" spans="1:16" ht="18.75">
      <c r="A63" s="156"/>
      <c r="B63" s="135" t="s">
        <v>137</v>
      </c>
      <c r="C63" s="186" t="s">
        <v>295</v>
      </c>
      <c r="D63" s="176" t="s">
        <v>128</v>
      </c>
      <c r="E63" s="209">
        <v>1500</v>
      </c>
      <c r="F63" s="137">
        <v>56.320251150948828</v>
      </c>
      <c r="G63" s="218">
        <f t="shared" si="5"/>
        <v>84480.376726423245</v>
      </c>
      <c r="H63" s="196"/>
      <c r="I63" s="196"/>
    </row>
    <row r="64" spans="1:16" ht="18.75">
      <c r="A64" s="156"/>
      <c r="B64" s="135" t="s">
        <v>136</v>
      </c>
      <c r="C64" s="186" t="s">
        <v>16</v>
      </c>
      <c r="D64" s="176" t="s">
        <v>128</v>
      </c>
      <c r="E64" s="209">
        <v>1500</v>
      </c>
      <c r="F64" s="137">
        <v>4.2178476893764172</v>
      </c>
      <c r="G64" s="218">
        <f t="shared" si="5"/>
        <v>6326.7715340646255</v>
      </c>
      <c r="H64" s="196"/>
      <c r="I64" s="196"/>
    </row>
    <row r="65" spans="1:9" ht="18.75">
      <c r="A65" s="156"/>
      <c r="B65" s="135" t="s">
        <v>138</v>
      </c>
      <c r="C65" s="186" t="s">
        <v>295</v>
      </c>
      <c r="D65" s="176" t="s">
        <v>128</v>
      </c>
      <c r="E65" s="209">
        <v>1500</v>
      </c>
      <c r="F65" s="137">
        <v>37.770792242141077</v>
      </c>
      <c r="G65" s="218">
        <f t="shared" si="5"/>
        <v>56656.188363211615</v>
      </c>
      <c r="H65" s="196"/>
      <c r="I65" s="196"/>
    </row>
    <row r="66" spans="1:9" ht="18.75">
      <c r="A66" s="156"/>
      <c r="B66" s="167" t="s">
        <v>42</v>
      </c>
      <c r="C66" s="185" t="s">
        <v>42</v>
      </c>
      <c r="D66" s="217" t="s">
        <v>128</v>
      </c>
      <c r="E66" s="209">
        <v>1500</v>
      </c>
      <c r="F66" s="168">
        <f>(F67)</f>
        <v>21.348917292243829</v>
      </c>
      <c r="G66" s="171">
        <f t="shared" si="5"/>
        <v>32023.375938365745</v>
      </c>
      <c r="H66" s="196"/>
      <c r="I66" s="196"/>
    </row>
    <row r="67" spans="1:9" ht="18.75">
      <c r="A67" s="156"/>
      <c r="B67" s="126" t="s">
        <v>139</v>
      </c>
      <c r="C67" s="186" t="s">
        <v>299</v>
      </c>
      <c r="D67" s="176" t="s">
        <v>128</v>
      </c>
      <c r="E67" s="209">
        <v>1500</v>
      </c>
      <c r="F67" s="137">
        <v>21.348917292243829</v>
      </c>
      <c r="G67" s="218">
        <f t="shared" si="5"/>
        <v>32023.375938365745</v>
      </c>
      <c r="H67" s="196"/>
      <c r="I67" s="196"/>
    </row>
    <row r="68" spans="1:9" s="145" customFormat="1" ht="56.25">
      <c r="A68" s="161" t="s">
        <v>141</v>
      </c>
      <c r="B68" s="146" t="s">
        <v>140</v>
      </c>
      <c r="C68" s="184"/>
      <c r="D68" s="216" t="s">
        <v>128</v>
      </c>
      <c r="E68" s="209">
        <v>1500</v>
      </c>
      <c r="F68" s="196">
        <f>SUM(F69,F70,F73)</f>
        <v>95.668888308361829</v>
      </c>
      <c r="G68" s="196">
        <f t="shared" si="5"/>
        <v>143503.33246254275</v>
      </c>
      <c r="H68" s="196"/>
      <c r="I68" s="196"/>
    </row>
    <row r="69" spans="1:9" ht="18.75">
      <c r="A69" s="156"/>
      <c r="B69" s="167" t="s">
        <v>36</v>
      </c>
      <c r="C69" s="185" t="s">
        <v>36</v>
      </c>
      <c r="D69" s="217" t="s">
        <v>128</v>
      </c>
      <c r="E69" s="209">
        <v>1500</v>
      </c>
      <c r="F69" s="168">
        <v>53.973703763543284</v>
      </c>
      <c r="G69" s="171">
        <f t="shared" si="5"/>
        <v>80960.555645314933</v>
      </c>
      <c r="H69" s="196"/>
      <c r="I69" s="196"/>
    </row>
    <row r="70" spans="1:9" ht="18.75">
      <c r="A70" s="156"/>
      <c r="B70" s="167" t="s">
        <v>39</v>
      </c>
      <c r="C70" s="185" t="s">
        <v>39</v>
      </c>
      <c r="D70" s="217" t="s">
        <v>128</v>
      </c>
      <c r="E70" s="209">
        <v>1500</v>
      </c>
      <c r="F70" s="168">
        <f>SUM(F71:F72)</f>
        <v>41.695184544818545</v>
      </c>
      <c r="G70" s="171">
        <f t="shared" si="5"/>
        <v>62542.776817227816</v>
      </c>
      <c r="H70" s="196"/>
      <c r="I70" s="196"/>
    </row>
    <row r="71" spans="1:9" ht="18.75">
      <c r="A71" s="156"/>
      <c r="B71" s="135" t="s">
        <v>142</v>
      </c>
      <c r="C71" s="186" t="s">
        <v>295</v>
      </c>
      <c r="D71" s="176" t="s">
        <v>128</v>
      </c>
      <c r="E71" s="209">
        <v>1500</v>
      </c>
      <c r="F71" s="137">
        <v>23.748300677715246</v>
      </c>
      <c r="G71" s="218">
        <f t="shared" si="5"/>
        <v>35622.451016572872</v>
      </c>
      <c r="H71" s="196"/>
      <c r="I71" s="196"/>
    </row>
    <row r="72" spans="1:9" ht="18.75">
      <c r="A72" s="156"/>
      <c r="B72" s="135" t="s">
        <v>143</v>
      </c>
      <c r="C72" s="186" t="s">
        <v>295</v>
      </c>
      <c r="D72" s="176" t="s">
        <v>128</v>
      </c>
      <c r="E72" s="209">
        <v>1500</v>
      </c>
      <c r="F72" s="137">
        <v>17.946883867103303</v>
      </c>
      <c r="G72" s="218">
        <f t="shared" si="5"/>
        <v>26920.325800654955</v>
      </c>
      <c r="H72" s="196"/>
      <c r="I72" s="196"/>
    </row>
    <row r="73" spans="1:9" ht="18.75">
      <c r="A73" s="156"/>
      <c r="B73" s="167" t="s">
        <v>42</v>
      </c>
      <c r="C73" s="185" t="s">
        <v>42</v>
      </c>
      <c r="D73" s="217" t="s">
        <v>128</v>
      </c>
      <c r="E73" s="209">
        <v>1500</v>
      </c>
      <c r="F73" s="168">
        <v>0</v>
      </c>
      <c r="G73" s="171">
        <f t="shared" si="5"/>
        <v>0</v>
      </c>
      <c r="H73" s="196"/>
      <c r="I73" s="196"/>
    </row>
    <row r="74" spans="1:9" s="145" customFormat="1" ht="56.25">
      <c r="A74" s="161" t="s">
        <v>145</v>
      </c>
      <c r="B74" s="146" t="s">
        <v>144</v>
      </c>
      <c r="C74" s="184"/>
      <c r="D74" s="216" t="s">
        <v>146</v>
      </c>
      <c r="E74" s="211">
        <v>37500</v>
      </c>
      <c r="F74" s="196">
        <f>SUM(F75,F76,F78)</f>
        <v>6.9909921548631511</v>
      </c>
      <c r="G74" s="196">
        <f t="shared" si="5"/>
        <v>262162.20580736815</v>
      </c>
      <c r="H74" s="196"/>
      <c r="I74" s="196"/>
    </row>
    <row r="75" spans="1:9" ht="18.75">
      <c r="A75" s="156"/>
      <c r="B75" s="167" t="s">
        <v>36</v>
      </c>
      <c r="C75" s="185" t="s">
        <v>36</v>
      </c>
      <c r="D75" s="217" t="s">
        <v>146</v>
      </c>
      <c r="E75" s="212">
        <v>37500</v>
      </c>
      <c r="F75" s="168">
        <v>0</v>
      </c>
      <c r="G75" s="171">
        <f t="shared" si="5"/>
        <v>0</v>
      </c>
      <c r="H75" s="196"/>
      <c r="I75" s="196"/>
    </row>
    <row r="76" spans="1:9" ht="18.75">
      <c r="A76" s="156"/>
      <c r="B76" s="167" t="s">
        <v>39</v>
      </c>
      <c r="C76" s="185" t="s">
        <v>39</v>
      </c>
      <c r="D76" s="217" t="s">
        <v>146</v>
      </c>
      <c r="E76" s="212">
        <v>37500</v>
      </c>
      <c r="F76" s="168">
        <f>SUM(F77)</f>
        <v>6.9909921548631511</v>
      </c>
      <c r="G76" s="171">
        <f t="shared" si="5"/>
        <v>262162.20580736815</v>
      </c>
      <c r="H76" s="196"/>
      <c r="I76" s="196"/>
    </row>
    <row r="77" spans="1:9" ht="18.75">
      <c r="A77" s="156"/>
      <c r="B77" s="135" t="s">
        <v>142</v>
      </c>
      <c r="C77" s="186" t="s">
        <v>295</v>
      </c>
      <c r="D77" s="176" t="s">
        <v>146</v>
      </c>
      <c r="E77" s="212">
        <v>37500</v>
      </c>
      <c r="F77" s="137">
        <v>6.9909921548631511</v>
      </c>
      <c r="G77" s="218">
        <f t="shared" si="5"/>
        <v>262162.20580736815</v>
      </c>
      <c r="H77" s="196"/>
      <c r="I77" s="196"/>
    </row>
    <row r="78" spans="1:9" ht="18.75">
      <c r="A78" s="156"/>
      <c r="B78" s="167" t="s">
        <v>42</v>
      </c>
      <c r="C78" s="185" t="s">
        <v>42</v>
      </c>
      <c r="D78" s="217" t="s">
        <v>146</v>
      </c>
      <c r="E78" s="212">
        <v>37500</v>
      </c>
      <c r="F78" s="168">
        <v>0</v>
      </c>
      <c r="G78" s="171">
        <f t="shared" si="5"/>
        <v>0</v>
      </c>
      <c r="H78" s="196"/>
      <c r="I78" s="196"/>
    </row>
    <row r="79" spans="1:9" s="145" customFormat="1" ht="37.5">
      <c r="A79" s="161" t="s">
        <v>148</v>
      </c>
      <c r="B79" s="146" t="s">
        <v>147</v>
      </c>
      <c r="C79" s="184"/>
      <c r="D79" s="216" t="s">
        <v>128</v>
      </c>
      <c r="E79" s="209">
        <v>1500</v>
      </c>
      <c r="F79" s="196">
        <f>SUM(F80,F81,F82)</f>
        <v>57.499999999999993</v>
      </c>
      <c r="G79" s="196">
        <f t="shared" si="5"/>
        <v>86249.999999999985</v>
      </c>
      <c r="H79" s="196"/>
      <c r="I79" s="196"/>
    </row>
    <row r="80" spans="1:9" ht="18.75">
      <c r="A80" s="156"/>
      <c r="B80" s="167" t="s">
        <v>36</v>
      </c>
      <c r="C80" s="185" t="s">
        <v>36</v>
      </c>
      <c r="D80" s="217" t="s">
        <v>128</v>
      </c>
      <c r="E80" s="209">
        <v>1500</v>
      </c>
      <c r="F80" s="171"/>
      <c r="G80" s="171">
        <f t="shared" si="5"/>
        <v>0</v>
      </c>
      <c r="H80" s="196"/>
      <c r="I80" s="196"/>
    </row>
    <row r="81" spans="1:9" ht="18.75">
      <c r="A81" s="156"/>
      <c r="B81" s="167" t="s">
        <v>39</v>
      </c>
      <c r="C81" s="185" t="s">
        <v>39</v>
      </c>
      <c r="D81" s="217" t="s">
        <v>128</v>
      </c>
      <c r="E81" s="209">
        <v>1500</v>
      </c>
      <c r="F81" s="168">
        <v>0</v>
      </c>
      <c r="G81" s="171">
        <f t="shared" si="5"/>
        <v>0</v>
      </c>
      <c r="H81" s="196"/>
      <c r="I81" s="196"/>
    </row>
    <row r="82" spans="1:9" ht="18.75">
      <c r="A82" s="156"/>
      <c r="B82" s="167" t="s">
        <v>42</v>
      </c>
      <c r="C82" s="185" t="s">
        <v>42</v>
      </c>
      <c r="D82" s="217" t="s">
        <v>128</v>
      </c>
      <c r="E82" s="209">
        <v>1500</v>
      </c>
      <c r="F82" s="168">
        <f>(F83)</f>
        <v>57.499999999999993</v>
      </c>
      <c r="G82" s="171">
        <f t="shared" si="5"/>
        <v>86249.999999999985</v>
      </c>
      <c r="H82" s="196"/>
      <c r="I82" s="196"/>
    </row>
    <row r="83" spans="1:9" ht="30">
      <c r="A83" s="156"/>
      <c r="B83" s="136" t="s">
        <v>147</v>
      </c>
      <c r="C83" s="186" t="s">
        <v>306</v>
      </c>
      <c r="D83" s="176" t="s">
        <v>128</v>
      </c>
      <c r="E83" s="209">
        <v>1500</v>
      </c>
      <c r="F83" s="137">
        <v>57.499999999999993</v>
      </c>
      <c r="G83" s="218">
        <f t="shared" si="5"/>
        <v>86249.999999999985</v>
      </c>
      <c r="H83" s="196"/>
      <c r="I83" s="196"/>
    </row>
    <row r="84" spans="1:9" s="145" customFormat="1" ht="37.5">
      <c r="A84" s="161" t="s">
        <v>151</v>
      </c>
      <c r="B84" s="146" t="s">
        <v>150</v>
      </c>
      <c r="C84" s="184"/>
      <c r="D84" s="216" t="s">
        <v>152</v>
      </c>
      <c r="E84" s="209">
        <v>20</v>
      </c>
      <c r="F84" s="196">
        <f>SUM(F85,F86,F88)</f>
        <v>1107.1442453220702</v>
      </c>
      <c r="G84" s="196">
        <f t="shared" si="5"/>
        <v>22142.884906441403</v>
      </c>
      <c r="H84" s="196"/>
      <c r="I84" s="196"/>
    </row>
    <row r="85" spans="1:9" ht="18.75">
      <c r="A85" s="156"/>
      <c r="B85" s="167" t="s">
        <v>36</v>
      </c>
      <c r="C85" s="185" t="s">
        <v>36</v>
      </c>
      <c r="D85" s="217" t="s">
        <v>152</v>
      </c>
      <c r="E85" s="210">
        <v>20</v>
      </c>
      <c r="F85" s="168">
        <v>326.24004321532306</v>
      </c>
      <c r="G85" s="171">
        <f t="shared" si="5"/>
        <v>6524.8008643064613</v>
      </c>
      <c r="H85" s="196"/>
      <c r="I85" s="196"/>
    </row>
    <row r="86" spans="1:9" ht="18.75">
      <c r="A86" s="156"/>
      <c r="B86" s="167" t="s">
        <v>39</v>
      </c>
      <c r="C86" s="185" t="s">
        <v>39</v>
      </c>
      <c r="D86" s="217" t="s">
        <v>152</v>
      </c>
      <c r="E86" s="210">
        <v>20</v>
      </c>
      <c r="F86" s="168">
        <f>(F87)</f>
        <v>15.904202106747</v>
      </c>
      <c r="G86" s="171">
        <f t="shared" si="5"/>
        <v>318.08404213493998</v>
      </c>
      <c r="H86" s="196"/>
      <c r="I86" s="196"/>
    </row>
    <row r="87" spans="1:9" ht="18.75">
      <c r="A87" s="156"/>
      <c r="B87" s="126" t="s">
        <v>136</v>
      </c>
      <c r="C87" s="186" t="s">
        <v>16</v>
      </c>
      <c r="D87" s="176" t="s">
        <v>152</v>
      </c>
      <c r="E87" s="178">
        <v>20</v>
      </c>
      <c r="F87" s="137">
        <v>15.904202106747</v>
      </c>
      <c r="G87" s="218">
        <f t="shared" si="5"/>
        <v>318.08404213493998</v>
      </c>
      <c r="H87" s="196"/>
      <c r="I87" s="196"/>
    </row>
    <row r="88" spans="1:9" ht="18.75">
      <c r="A88" s="156"/>
      <c r="B88" s="167" t="s">
        <v>42</v>
      </c>
      <c r="C88" s="185" t="s">
        <v>42</v>
      </c>
      <c r="D88" s="217" t="s">
        <v>152</v>
      </c>
      <c r="E88" s="210">
        <v>20</v>
      </c>
      <c r="F88" s="168">
        <f>(F89+F90)</f>
        <v>765.00000000000011</v>
      </c>
      <c r="G88" s="171">
        <f t="shared" si="5"/>
        <v>15300.000000000002</v>
      </c>
      <c r="H88" s="196"/>
      <c r="I88" s="196"/>
    </row>
    <row r="89" spans="1:9" ht="18.75">
      <c r="A89" s="156"/>
      <c r="B89" s="126" t="s">
        <v>153</v>
      </c>
      <c r="C89" s="186" t="s">
        <v>307</v>
      </c>
      <c r="D89" s="176" t="s">
        <v>152</v>
      </c>
      <c r="E89" s="178">
        <v>20</v>
      </c>
      <c r="F89" s="137">
        <v>715.00000000000011</v>
      </c>
      <c r="G89" s="218">
        <f t="shared" si="5"/>
        <v>14300.000000000002</v>
      </c>
      <c r="H89" s="196"/>
      <c r="I89" s="196"/>
    </row>
    <row r="90" spans="1:9" ht="18.75">
      <c r="A90" s="156"/>
      <c r="B90" s="126" t="s">
        <v>155</v>
      </c>
      <c r="C90" s="186" t="s">
        <v>307</v>
      </c>
      <c r="D90" s="176" t="s">
        <v>152</v>
      </c>
      <c r="E90" s="178">
        <v>20</v>
      </c>
      <c r="F90" s="137">
        <v>50</v>
      </c>
      <c r="G90" s="218">
        <f t="shared" si="5"/>
        <v>1000</v>
      </c>
      <c r="H90" s="196"/>
      <c r="I90" s="196"/>
    </row>
    <row r="91" spans="1:9" s="145" customFormat="1" ht="72">
      <c r="A91" s="162" t="s">
        <v>157</v>
      </c>
      <c r="B91" s="147" t="s">
        <v>156</v>
      </c>
      <c r="C91" s="184"/>
      <c r="D91" s="219" t="s">
        <v>128</v>
      </c>
      <c r="E91" s="209">
        <f>(10.8+10+16+210+260+9)*1.1</f>
        <v>567.38</v>
      </c>
      <c r="F91" s="196">
        <f>SUM(F92,F93,F101)</f>
        <v>4875.8370265669419</v>
      </c>
      <c r="G91" s="196">
        <f t="shared" si="5"/>
        <v>2766452.4121335517</v>
      </c>
      <c r="H91" s="196"/>
      <c r="I91" s="196"/>
    </row>
    <row r="92" spans="1:9" ht="18.75">
      <c r="A92" s="156"/>
      <c r="B92" s="167" t="s">
        <v>36</v>
      </c>
      <c r="C92" s="185" t="s">
        <v>36</v>
      </c>
      <c r="D92" s="220" t="s">
        <v>128</v>
      </c>
      <c r="E92" s="210">
        <f t="shared" ref="E92:E107" si="6">(10.8+10+16+210+260+9)*1.1</f>
        <v>567.38</v>
      </c>
      <c r="F92" s="168">
        <v>2917.5299425500421</v>
      </c>
      <c r="G92" s="171">
        <f t="shared" si="5"/>
        <v>1655348.1388040429</v>
      </c>
      <c r="H92" s="196"/>
      <c r="I92" s="196"/>
    </row>
    <row r="93" spans="1:9" ht="18.75">
      <c r="A93" s="156"/>
      <c r="B93" s="167" t="s">
        <v>39</v>
      </c>
      <c r="C93" s="185" t="s">
        <v>39</v>
      </c>
      <c r="D93" s="220" t="s">
        <v>128</v>
      </c>
      <c r="E93" s="210">
        <f t="shared" si="6"/>
        <v>567.38</v>
      </c>
      <c r="F93" s="168">
        <f>SUM(F94:F100)</f>
        <v>1202.9705583667401</v>
      </c>
      <c r="G93" s="171">
        <f t="shared" si="5"/>
        <v>682541.43540612096</v>
      </c>
      <c r="H93" s="196"/>
      <c r="I93" s="196"/>
    </row>
    <row r="94" spans="1:9" ht="18.75">
      <c r="A94" s="156"/>
      <c r="B94" s="135" t="s">
        <v>161</v>
      </c>
      <c r="C94" s="186" t="s">
        <v>308</v>
      </c>
      <c r="D94" s="179" t="s">
        <v>128</v>
      </c>
      <c r="E94" s="178">
        <f t="shared" si="6"/>
        <v>567.38</v>
      </c>
      <c r="F94" s="137">
        <v>409.89820940630801</v>
      </c>
      <c r="G94" s="218">
        <f t="shared" si="5"/>
        <v>232568.04605295105</v>
      </c>
      <c r="H94" s="196"/>
      <c r="I94" s="196"/>
    </row>
    <row r="95" spans="1:9" ht="18.75">
      <c r="A95" s="156"/>
      <c r="B95" s="135" t="s">
        <v>162</v>
      </c>
      <c r="C95" s="186" t="s">
        <v>9</v>
      </c>
      <c r="D95" s="179" t="s">
        <v>128</v>
      </c>
      <c r="E95" s="178">
        <f t="shared" si="6"/>
        <v>567.38</v>
      </c>
      <c r="F95" s="137">
        <v>95.305351104038181</v>
      </c>
      <c r="G95" s="218">
        <f t="shared" si="5"/>
        <v>54074.350109409184</v>
      </c>
      <c r="H95" s="196"/>
      <c r="I95" s="196"/>
    </row>
    <row r="96" spans="1:9" ht="18.75">
      <c r="A96" s="156"/>
      <c r="B96" s="135" t="s">
        <v>136</v>
      </c>
      <c r="C96" s="186" t="s">
        <v>16</v>
      </c>
      <c r="D96" s="179" t="s">
        <v>128</v>
      </c>
      <c r="E96" s="178">
        <f t="shared" si="6"/>
        <v>567.38</v>
      </c>
      <c r="F96" s="137">
        <v>71.114792349657293</v>
      </c>
      <c r="G96" s="218">
        <f t="shared" si="5"/>
        <v>40349.110883348556</v>
      </c>
      <c r="H96" s="196"/>
      <c r="I96" s="196"/>
    </row>
    <row r="97" spans="1:9" ht="18.75">
      <c r="A97" s="156"/>
      <c r="B97" s="135" t="s">
        <v>163</v>
      </c>
      <c r="C97" s="186" t="s">
        <v>295</v>
      </c>
      <c r="D97" s="179" t="s">
        <v>128</v>
      </c>
      <c r="E97" s="178">
        <f t="shared" si="6"/>
        <v>567.38</v>
      </c>
      <c r="F97" s="137">
        <v>210.7594671581769</v>
      </c>
      <c r="G97" s="218">
        <f t="shared" si="5"/>
        <v>119580.70647620641</v>
      </c>
      <c r="H97" s="196"/>
      <c r="I97" s="196"/>
    </row>
    <row r="98" spans="1:9" ht="18.75">
      <c r="A98" s="156"/>
      <c r="B98" s="135" t="s">
        <v>164</v>
      </c>
      <c r="C98" s="186" t="s">
        <v>295</v>
      </c>
      <c r="D98" s="179" t="s">
        <v>128</v>
      </c>
      <c r="E98" s="178">
        <f t="shared" si="6"/>
        <v>567.38</v>
      </c>
      <c r="F98" s="137">
        <v>123.34049168242571</v>
      </c>
      <c r="G98" s="218">
        <f t="shared" si="5"/>
        <v>69980.9281707747</v>
      </c>
      <c r="H98" s="196"/>
      <c r="I98" s="196"/>
    </row>
    <row r="99" spans="1:9" ht="18.75">
      <c r="A99" s="156"/>
      <c r="B99" s="135" t="s">
        <v>165</v>
      </c>
      <c r="C99" s="186" t="s">
        <v>295</v>
      </c>
      <c r="D99" s="179" t="s">
        <v>128</v>
      </c>
      <c r="E99" s="178">
        <f t="shared" si="6"/>
        <v>567.38</v>
      </c>
      <c r="F99" s="137">
        <v>146.27612333306703</v>
      </c>
      <c r="G99" s="218">
        <f t="shared" si="5"/>
        <v>82994.146856715568</v>
      </c>
      <c r="H99" s="196"/>
      <c r="I99" s="196"/>
    </row>
    <row r="100" spans="1:9" ht="18.75">
      <c r="A100" s="156"/>
      <c r="B100" s="126" t="s">
        <v>166</v>
      </c>
      <c r="C100" s="186" t="s">
        <v>295</v>
      </c>
      <c r="D100" s="179" t="s">
        <v>128</v>
      </c>
      <c r="E100" s="178">
        <f t="shared" si="6"/>
        <v>567.38</v>
      </c>
      <c r="F100" s="137">
        <v>146.27612333306703</v>
      </c>
      <c r="G100" s="218">
        <f t="shared" si="5"/>
        <v>82994.146856715568</v>
      </c>
      <c r="H100" s="196"/>
      <c r="I100" s="196"/>
    </row>
    <row r="101" spans="1:9" ht="18.75">
      <c r="A101" s="156"/>
      <c r="B101" s="167" t="s">
        <v>42</v>
      </c>
      <c r="C101" s="185" t="s">
        <v>42</v>
      </c>
      <c r="D101" s="220" t="s">
        <v>128</v>
      </c>
      <c r="E101" s="210">
        <f t="shared" si="6"/>
        <v>567.38</v>
      </c>
      <c r="F101" s="168">
        <f>SUM(F102:F107)</f>
        <v>755.33652565016041</v>
      </c>
      <c r="G101" s="171">
        <f t="shared" si="5"/>
        <v>428562.837923388</v>
      </c>
      <c r="H101" s="196"/>
      <c r="I101" s="196"/>
    </row>
    <row r="102" spans="1:9" ht="18.75">
      <c r="A102" s="156"/>
      <c r="B102" s="126" t="s">
        <v>167</v>
      </c>
      <c r="C102" s="186" t="s">
        <v>16</v>
      </c>
      <c r="D102" s="179" t="s">
        <v>128</v>
      </c>
      <c r="E102" s="178">
        <f t="shared" si="6"/>
        <v>567.38</v>
      </c>
      <c r="F102" s="137">
        <v>32.5</v>
      </c>
      <c r="G102" s="218">
        <f t="shared" si="5"/>
        <v>18439.849999999999</v>
      </c>
      <c r="H102" s="196"/>
      <c r="I102" s="196"/>
    </row>
    <row r="103" spans="1:9" ht="18.75">
      <c r="A103" s="156"/>
      <c r="B103" s="126" t="s">
        <v>168</v>
      </c>
      <c r="C103" s="186" t="s">
        <v>299</v>
      </c>
      <c r="D103" s="179" t="s">
        <v>128</v>
      </c>
      <c r="E103" s="178">
        <f t="shared" si="6"/>
        <v>567.38</v>
      </c>
      <c r="F103" s="137">
        <v>110</v>
      </c>
      <c r="G103" s="218">
        <f t="shared" si="5"/>
        <v>62411.8</v>
      </c>
      <c r="H103" s="196"/>
      <c r="I103" s="196"/>
    </row>
    <row r="104" spans="1:9" ht="18.75">
      <c r="A104" s="156"/>
      <c r="B104" s="126" t="s">
        <v>169</v>
      </c>
      <c r="C104" s="186" t="s">
        <v>299</v>
      </c>
      <c r="D104" s="179" t="s">
        <v>128</v>
      </c>
      <c r="E104" s="178">
        <f t="shared" si="6"/>
        <v>567.38</v>
      </c>
      <c r="F104" s="137">
        <v>142.5</v>
      </c>
      <c r="G104" s="218">
        <f t="shared" si="5"/>
        <v>80851.649999999994</v>
      </c>
      <c r="H104" s="196"/>
      <c r="I104" s="196"/>
    </row>
    <row r="105" spans="1:9" ht="18.75">
      <c r="A105" s="156"/>
      <c r="B105" s="126" t="s">
        <v>170</v>
      </c>
      <c r="C105" s="186" t="s">
        <v>299</v>
      </c>
      <c r="D105" s="179" t="s">
        <v>128</v>
      </c>
      <c r="E105" s="178">
        <f t="shared" si="6"/>
        <v>567.38</v>
      </c>
      <c r="F105" s="137">
        <v>206.99999999999997</v>
      </c>
      <c r="G105" s="218">
        <f t="shared" si="5"/>
        <v>117447.65999999999</v>
      </c>
      <c r="H105" s="196"/>
      <c r="I105" s="196"/>
    </row>
    <row r="106" spans="1:9" ht="18.75">
      <c r="A106" s="156"/>
      <c r="B106" s="126" t="s">
        <v>172</v>
      </c>
      <c r="C106" s="186" t="s">
        <v>309</v>
      </c>
      <c r="D106" s="179" t="s">
        <v>128</v>
      </c>
      <c r="E106" s="178">
        <f t="shared" si="6"/>
        <v>567.38</v>
      </c>
      <c r="F106" s="137">
        <v>153.37506452415499</v>
      </c>
      <c r="G106" s="218">
        <f t="shared" si="5"/>
        <v>87021.944109715056</v>
      </c>
      <c r="H106" s="196"/>
      <c r="I106" s="196"/>
    </row>
    <row r="107" spans="1:9" ht="18.75">
      <c r="A107" s="156"/>
      <c r="B107" s="126" t="s">
        <v>173</v>
      </c>
      <c r="C107" s="186" t="s">
        <v>310</v>
      </c>
      <c r="D107" s="179" t="s">
        <v>128</v>
      </c>
      <c r="E107" s="178">
        <f t="shared" si="6"/>
        <v>567.38</v>
      </c>
      <c r="F107" s="137">
        <v>109.96146112600536</v>
      </c>
      <c r="G107" s="218">
        <f t="shared" si="5"/>
        <v>62389.93381367292</v>
      </c>
      <c r="H107" s="196"/>
      <c r="I107" s="196"/>
    </row>
    <row r="108" spans="1:9" s="145" customFormat="1" ht="37.5">
      <c r="A108" s="161" t="s">
        <v>175</v>
      </c>
      <c r="B108" s="146" t="s">
        <v>174</v>
      </c>
      <c r="C108" s="184"/>
      <c r="D108" s="202" t="s">
        <v>176</v>
      </c>
      <c r="E108" s="209">
        <v>7000</v>
      </c>
      <c r="F108" s="196">
        <f>SUM(F109,F110,F115)</f>
        <v>29.414331158003112</v>
      </c>
      <c r="G108" s="196">
        <f t="shared" si="5"/>
        <v>205900.31810602179</v>
      </c>
      <c r="H108" s="196"/>
      <c r="I108" s="196"/>
    </row>
    <row r="109" spans="1:9" ht="18.75">
      <c r="A109" s="156"/>
      <c r="B109" s="167" t="s">
        <v>36</v>
      </c>
      <c r="C109" s="185" t="s">
        <v>36</v>
      </c>
      <c r="D109" s="200" t="s">
        <v>176</v>
      </c>
      <c r="E109" s="209">
        <v>7000</v>
      </c>
      <c r="F109" s="168">
        <v>17.216959055608626</v>
      </c>
      <c r="G109" s="171">
        <f t="shared" si="5"/>
        <v>120518.71338926039</v>
      </c>
      <c r="H109" s="196"/>
      <c r="I109" s="196"/>
    </row>
    <row r="110" spans="1:9" ht="18.75">
      <c r="A110" s="156"/>
      <c r="B110" s="167" t="s">
        <v>39</v>
      </c>
      <c r="C110" s="185" t="s">
        <v>39</v>
      </c>
      <c r="D110" s="200" t="s">
        <v>176</v>
      </c>
      <c r="E110" s="209">
        <v>7000</v>
      </c>
      <c r="F110" s="168">
        <f>SUM(F111:F114)</f>
        <v>12.197372102394485</v>
      </c>
      <c r="G110" s="171">
        <f t="shared" si="5"/>
        <v>85381.604716761402</v>
      </c>
      <c r="H110" s="196"/>
      <c r="I110" s="196"/>
    </row>
    <row r="111" spans="1:9" ht="18.75">
      <c r="A111" s="156"/>
      <c r="B111" s="135" t="s">
        <v>180</v>
      </c>
      <c r="C111" s="186" t="s">
        <v>311</v>
      </c>
      <c r="D111" s="201" t="s">
        <v>176</v>
      </c>
      <c r="E111" s="209">
        <v>7000</v>
      </c>
      <c r="F111" s="137">
        <v>1.25</v>
      </c>
      <c r="G111" s="218">
        <f t="shared" si="5"/>
        <v>8750</v>
      </c>
      <c r="H111" s="196"/>
      <c r="I111" s="196"/>
    </row>
    <row r="112" spans="1:9" ht="30">
      <c r="A112" s="156"/>
      <c r="B112" s="135" t="s">
        <v>181</v>
      </c>
      <c r="C112" s="187" t="s">
        <v>312</v>
      </c>
      <c r="D112" s="201" t="s">
        <v>176</v>
      </c>
      <c r="E112" s="209">
        <v>7000</v>
      </c>
      <c r="F112" s="137">
        <v>3.99</v>
      </c>
      <c r="G112" s="218">
        <f t="shared" si="5"/>
        <v>27930</v>
      </c>
      <c r="H112" s="196"/>
      <c r="I112" s="196"/>
    </row>
    <row r="113" spans="1:9" ht="18.75">
      <c r="A113" s="156"/>
      <c r="B113" s="135" t="s">
        <v>136</v>
      </c>
      <c r="C113" s="186" t="s">
        <v>16</v>
      </c>
      <c r="D113" s="201" t="s">
        <v>176</v>
      </c>
      <c r="E113" s="209">
        <v>7000</v>
      </c>
      <c r="F113" s="137">
        <v>0.8393267539609206</v>
      </c>
      <c r="G113" s="218">
        <f t="shared" si="5"/>
        <v>5875.2872777264438</v>
      </c>
      <c r="H113" s="196"/>
      <c r="I113" s="196"/>
    </row>
    <row r="114" spans="1:9" ht="18.75">
      <c r="A114" s="156"/>
      <c r="B114" s="135" t="s">
        <v>161</v>
      </c>
      <c r="C114" s="186" t="s">
        <v>308</v>
      </c>
      <c r="D114" s="201" t="s">
        <v>176</v>
      </c>
      <c r="E114" s="209">
        <v>7000</v>
      </c>
      <c r="F114" s="137">
        <v>6.1180453484335642</v>
      </c>
      <c r="G114" s="218">
        <f t="shared" si="5"/>
        <v>42826.317439034952</v>
      </c>
      <c r="H114" s="196"/>
      <c r="I114" s="196"/>
    </row>
    <row r="115" spans="1:9" ht="18.75">
      <c r="A115" s="156"/>
      <c r="B115" s="167" t="s">
        <v>42</v>
      </c>
      <c r="C115" s="185" t="s">
        <v>42</v>
      </c>
      <c r="D115" s="200" t="s">
        <v>176</v>
      </c>
      <c r="E115" s="209">
        <v>7000</v>
      </c>
      <c r="F115" s="171">
        <v>0</v>
      </c>
      <c r="G115" s="171">
        <f t="shared" si="5"/>
        <v>0</v>
      </c>
      <c r="H115" s="196"/>
      <c r="I115" s="196"/>
    </row>
    <row r="116" spans="1:9" s="145" customFormat="1" ht="112.5">
      <c r="A116" s="161" t="s">
        <v>183</v>
      </c>
      <c r="B116" s="146" t="s">
        <v>182</v>
      </c>
      <c r="C116" s="184"/>
      <c r="D116" s="221" t="s">
        <v>128</v>
      </c>
      <c r="E116" s="209">
        <v>2076.5</v>
      </c>
      <c r="F116" s="196">
        <f>SUM(F117,F118,F126)</f>
        <v>5255.2809751536033</v>
      </c>
      <c r="G116" s="196">
        <f t="shared" si="5"/>
        <v>10912590.944906456</v>
      </c>
      <c r="H116" s="196"/>
      <c r="I116" s="196"/>
    </row>
    <row r="117" spans="1:9" ht="18.75">
      <c r="A117" s="156"/>
      <c r="B117" s="167" t="s">
        <v>36</v>
      </c>
      <c r="C117" s="190" t="s">
        <v>36</v>
      </c>
      <c r="D117" s="222" t="s">
        <v>128</v>
      </c>
      <c r="E117" s="210">
        <v>2076.5</v>
      </c>
      <c r="F117" s="168">
        <v>3119.8657225292054</v>
      </c>
      <c r="G117" s="171">
        <f t="shared" si="5"/>
        <v>6478401.1728318948</v>
      </c>
      <c r="H117" s="196"/>
      <c r="I117" s="196"/>
    </row>
    <row r="118" spans="1:9" ht="18.75">
      <c r="A118" s="156"/>
      <c r="B118" s="167" t="s">
        <v>39</v>
      </c>
      <c r="C118" s="190" t="s">
        <v>39</v>
      </c>
      <c r="D118" s="222" t="s">
        <v>128</v>
      </c>
      <c r="E118" s="210">
        <v>2076.5</v>
      </c>
      <c r="F118" s="168">
        <f>SUM(F119:F125)</f>
        <v>1490.0401881002422</v>
      </c>
      <c r="G118" s="171">
        <f t="shared" si="5"/>
        <v>3094068.4505901528</v>
      </c>
      <c r="H118" s="196"/>
      <c r="I118" s="196"/>
    </row>
    <row r="119" spans="1:9" ht="18.75">
      <c r="A119" s="156"/>
      <c r="B119" s="135" t="s">
        <v>161</v>
      </c>
      <c r="C119" s="186" t="s">
        <v>308</v>
      </c>
      <c r="D119" s="180" t="s">
        <v>128</v>
      </c>
      <c r="E119" s="178">
        <v>2076.5</v>
      </c>
      <c r="F119" s="137">
        <v>376.32611646456689</v>
      </c>
      <c r="G119" s="218">
        <f t="shared" si="5"/>
        <v>781441.18083867314</v>
      </c>
      <c r="H119" s="196"/>
      <c r="I119" s="196"/>
    </row>
    <row r="120" spans="1:9" ht="18.75">
      <c r="A120" s="156"/>
      <c r="B120" s="135" t="s">
        <v>162</v>
      </c>
      <c r="C120" s="186" t="s">
        <v>9</v>
      </c>
      <c r="D120" s="180" t="s">
        <v>128</v>
      </c>
      <c r="E120" s="178">
        <v>2076.5</v>
      </c>
      <c r="F120" s="137">
        <v>95.305351104038181</v>
      </c>
      <c r="G120" s="218">
        <f t="shared" si="5"/>
        <v>197901.56156753527</v>
      </c>
      <c r="H120" s="196"/>
      <c r="I120" s="196"/>
    </row>
    <row r="121" spans="1:9" ht="18.75">
      <c r="A121" s="156"/>
      <c r="B121" s="135" t="s">
        <v>136</v>
      </c>
      <c r="C121" s="186" t="s">
        <v>16</v>
      </c>
      <c r="D121" s="180" t="s">
        <v>128</v>
      </c>
      <c r="E121" s="178">
        <v>2076.5</v>
      </c>
      <c r="F121" s="137">
        <v>76.046726986649389</v>
      </c>
      <c r="G121" s="218">
        <f t="shared" si="5"/>
        <v>157911.02858777746</v>
      </c>
      <c r="H121" s="196"/>
      <c r="I121" s="196"/>
    </row>
    <row r="122" spans="1:9" ht="18.75">
      <c r="A122" s="156"/>
      <c r="B122" s="135" t="s">
        <v>165</v>
      </c>
      <c r="C122" s="186" t="s">
        <v>295</v>
      </c>
      <c r="D122" s="180" t="s">
        <v>128</v>
      </c>
      <c r="E122" s="178">
        <v>2076.5</v>
      </c>
      <c r="F122" s="137">
        <v>146.27612333306703</v>
      </c>
      <c r="G122" s="218">
        <f t="shared" si="5"/>
        <v>303742.37010111369</v>
      </c>
      <c r="H122" s="196"/>
      <c r="I122" s="196"/>
    </row>
    <row r="123" spans="1:9" ht="18.75">
      <c r="A123" s="156"/>
      <c r="B123" s="126" t="s">
        <v>313</v>
      </c>
      <c r="C123" s="186" t="s">
        <v>295</v>
      </c>
      <c r="D123" s="180" t="s">
        <v>128</v>
      </c>
      <c r="E123" s="178">
        <v>2076.5</v>
      </c>
      <c r="F123" s="137">
        <v>146.27612333306703</v>
      </c>
      <c r="G123" s="218">
        <f t="shared" si="5"/>
        <v>303742.37010111369</v>
      </c>
      <c r="H123" s="196"/>
      <c r="I123" s="196"/>
    </row>
    <row r="124" spans="1:9" ht="18.75">
      <c r="A124" s="156"/>
      <c r="B124" s="126" t="s">
        <v>184</v>
      </c>
      <c r="C124" s="186" t="s">
        <v>9</v>
      </c>
      <c r="D124" s="180" t="s">
        <v>128</v>
      </c>
      <c r="E124" s="178">
        <v>2076.5</v>
      </c>
      <c r="F124" s="137">
        <v>105.62482031973964</v>
      </c>
      <c r="G124" s="218">
        <f t="shared" ref="G124:G187" si="7">(F124*E124)</f>
        <v>219329.93939393936</v>
      </c>
      <c r="H124" s="196"/>
      <c r="I124" s="196"/>
    </row>
    <row r="125" spans="1:9" ht="30">
      <c r="A125" s="156"/>
      <c r="B125" s="126" t="s">
        <v>185</v>
      </c>
      <c r="C125" s="187" t="s">
        <v>314</v>
      </c>
      <c r="D125" s="180" t="s">
        <v>128</v>
      </c>
      <c r="E125" s="178">
        <v>2076.5</v>
      </c>
      <c r="F125" s="137">
        <v>544.18492655911393</v>
      </c>
      <c r="G125" s="218">
        <f t="shared" si="7"/>
        <v>1130000</v>
      </c>
      <c r="H125" s="196"/>
      <c r="I125" s="196"/>
    </row>
    <row r="126" spans="1:9" ht="18.75">
      <c r="A126" s="156"/>
      <c r="B126" s="167" t="s">
        <v>42</v>
      </c>
      <c r="C126" s="190" t="s">
        <v>42</v>
      </c>
      <c r="D126" s="222" t="s">
        <v>128</v>
      </c>
      <c r="E126" s="210">
        <v>2076.5</v>
      </c>
      <c r="F126" s="168">
        <f>SUM(F127:F131)</f>
        <v>645.37506452415505</v>
      </c>
      <c r="G126" s="171">
        <f t="shared" si="7"/>
        <v>1340121.3214844079</v>
      </c>
      <c r="H126" s="196"/>
      <c r="I126" s="196"/>
    </row>
    <row r="127" spans="1:9" ht="18.75">
      <c r="A127" s="156"/>
      <c r="B127" s="126" t="s">
        <v>167</v>
      </c>
      <c r="C127" s="186" t="s">
        <v>16</v>
      </c>
      <c r="D127" s="180" t="s">
        <v>128</v>
      </c>
      <c r="E127" s="178">
        <v>2076.5</v>
      </c>
      <c r="F127" s="137">
        <v>32.5</v>
      </c>
      <c r="G127" s="218">
        <f t="shared" si="7"/>
        <v>67486.25</v>
      </c>
      <c r="H127" s="196"/>
      <c r="I127" s="196"/>
    </row>
    <row r="128" spans="1:9" ht="18.75">
      <c r="A128" s="156"/>
      <c r="B128" s="126" t="s">
        <v>168</v>
      </c>
      <c r="C128" s="186" t="s">
        <v>299</v>
      </c>
      <c r="D128" s="180" t="s">
        <v>128</v>
      </c>
      <c r="E128" s="178">
        <v>2076.5</v>
      </c>
      <c r="F128" s="137">
        <v>110</v>
      </c>
      <c r="G128" s="218">
        <f t="shared" si="7"/>
        <v>228415</v>
      </c>
      <c r="H128" s="196"/>
      <c r="I128" s="196"/>
    </row>
    <row r="129" spans="1:9" ht="18.75">
      <c r="A129" s="156"/>
      <c r="B129" s="126" t="s">
        <v>169</v>
      </c>
      <c r="C129" s="186" t="s">
        <v>299</v>
      </c>
      <c r="D129" s="180" t="s">
        <v>128</v>
      </c>
      <c r="E129" s="178">
        <v>2076.5</v>
      </c>
      <c r="F129" s="137">
        <v>142.5</v>
      </c>
      <c r="G129" s="218">
        <f t="shared" si="7"/>
        <v>295901.25</v>
      </c>
      <c r="H129" s="196"/>
      <c r="I129" s="196"/>
    </row>
    <row r="130" spans="1:9" ht="18.75">
      <c r="A130" s="156"/>
      <c r="B130" s="126" t="s">
        <v>170</v>
      </c>
      <c r="C130" s="186" t="s">
        <v>299</v>
      </c>
      <c r="D130" s="180" t="s">
        <v>128</v>
      </c>
      <c r="E130" s="178">
        <v>2076.5</v>
      </c>
      <c r="F130" s="137">
        <v>206.99999999999997</v>
      </c>
      <c r="G130" s="218">
        <f t="shared" si="7"/>
        <v>429835.49999999994</v>
      </c>
      <c r="H130" s="196"/>
      <c r="I130" s="196"/>
    </row>
    <row r="131" spans="1:9" ht="18.75">
      <c r="A131" s="156"/>
      <c r="B131" s="126" t="s">
        <v>172</v>
      </c>
      <c r="C131" s="186" t="s">
        <v>309</v>
      </c>
      <c r="D131" s="180" t="s">
        <v>128</v>
      </c>
      <c r="E131" s="178">
        <v>2076.5</v>
      </c>
      <c r="F131" s="137">
        <v>153.37506452415499</v>
      </c>
      <c r="G131" s="218">
        <f t="shared" si="7"/>
        <v>318483.32148440782</v>
      </c>
      <c r="H131" s="196"/>
      <c r="I131" s="196"/>
    </row>
    <row r="132" spans="1:9" s="145" customFormat="1" ht="112.5">
      <c r="A132" s="161" t="s">
        <v>187</v>
      </c>
      <c r="B132" s="146" t="s">
        <v>186</v>
      </c>
      <c r="C132" s="184"/>
      <c r="D132" s="219" t="s">
        <v>128</v>
      </c>
      <c r="E132" s="209">
        <v>1100</v>
      </c>
      <c r="F132" s="196">
        <f>SUM(F133,F134,F141)</f>
        <v>2292.5837391293185</v>
      </c>
      <c r="G132" s="196">
        <f t="shared" si="7"/>
        <v>2521842.1130422503</v>
      </c>
      <c r="H132" s="196"/>
      <c r="I132" s="196"/>
    </row>
    <row r="133" spans="1:9" ht="18.75">
      <c r="A133" s="156"/>
      <c r="B133" s="167" t="s">
        <v>36</v>
      </c>
      <c r="C133" s="185" t="s">
        <v>36</v>
      </c>
      <c r="D133" s="220" t="s">
        <v>128</v>
      </c>
      <c r="E133" s="210">
        <v>1100</v>
      </c>
      <c r="F133" s="168">
        <v>1080.5598599023369</v>
      </c>
      <c r="G133" s="171">
        <f t="shared" si="7"/>
        <v>1188615.8458925707</v>
      </c>
      <c r="H133" s="196"/>
      <c r="I133" s="196"/>
    </row>
    <row r="134" spans="1:9" ht="18.75">
      <c r="A134" s="156"/>
      <c r="B134" s="167" t="s">
        <v>39</v>
      </c>
      <c r="C134" s="185" t="s">
        <v>39</v>
      </c>
      <c r="D134" s="220" t="s">
        <v>128</v>
      </c>
      <c r="E134" s="210">
        <v>1100</v>
      </c>
      <c r="F134" s="168">
        <f>SUM(F135:F140)</f>
        <v>720.02387922698142</v>
      </c>
      <c r="G134" s="171">
        <f t="shared" si="7"/>
        <v>792026.2671496796</v>
      </c>
      <c r="H134" s="196"/>
      <c r="I134" s="196"/>
    </row>
    <row r="135" spans="1:9" ht="18.75">
      <c r="A135" s="156"/>
      <c r="B135" s="135" t="s">
        <v>161</v>
      </c>
      <c r="C135" s="186" t="s">
        <v>308</v>
      </c>
      <c r="D135" s="179" t="s">
        <v>128</v>
      </c>
      <c r="E135" s="178">
        <v>1100</v>
      </c>
      <c r="F135" s="137">
        <v>136.63273646876888</v>
      </c>
      <c r="G135" s="218">
        <f t="shared" si="7"/>
        <v>150296.01011564577</v>
      </c>
      <c r="H135" s="196"/>
      <c r="I135" s="196"/>
    </row>
    <row r="136" spans="1:9" ht="18.75">
      <c r="A136" s="156"/>
      <c r="B136" s="135" t="s">
        <v>162</v>
      </c>
      <c r="C136" s="186" t="s">
        <v>9</v>
      </c>
      <c r="D136" s="179" t="s">
        <v>128</v>
      </c>
      <c r="E136" s="178">
        <v>1100</v>
      </c>
      <c r="F136" s="137">
        <v>95.305351104038181</v>
      </c>
      <c r="G136" s="218">
        <f t="shared" si="7"/>
        <v>104835.886214442</v>
      </c>
      <c r="H136" s="196"/>
      <c r="I136" s="196"/>
    </row>
    <row r="137" spans="1:9" ht="18.75">
      <c r="A137" s="156"/>
      <c r="B137" s="135" t="s">
        <v>136</v>
      </c>
      <c r="C137" s="186" t="s">
        <v>16</v>
      </c>
      <c r="D137" s="179" t="s">
        <v>128</v>
      </c>
      <c r="E137" s="178">
        <v>1100</v>
      </c>
      <c r="F137" s="137">
        <v>26.338646585119466</v>
      </c>
      <c r="G137" s="218">
        <f t="shared" si="7"/>
        <v>28972.511243631412</v>
      </c>
      <c r="H137" s="196"/>
      <c r="I137" s="196"/>
    </row>
    <row r="138" spans="1:9" ht="18.75">
      <c r="A138" s="156"/>
      <c r="B138" s="135" t="s">
        <v>164</v>
      </c>
      <c r="C138" s="186" t="s">
        <v>295</v>
      </c>
      <c r="D138" s="179" t="s">
        <v>128</v>
      </c>
      <c r="E138" s="178">
        <v>1100</v>
      </c>
      <c r="F138" s="137">
        <v>169.19489840292084</v>
      </c>
      <c r="G138" s="218">
        <f t="shared" si="7"/>
        <v>186114.38824321292</v>
      </c>
      <c r="H138" s="196"/>
      <c r="I138" s="196"/>
    </row>
    <row r="139" spans="1:9" ht="18.75">
      <c r="A139" s="156"/>
      <c r="B139" s="135" t="s">
        <v>165</v>
      </c>
      <c r="C139" s="186" t="s">
        <v>295</v>
      </c>
      <c r="D139" s="179" t="s">
        <v>128</v>
      </c>
      <c r="E139" s="178">
        <v>1100</v>
      </c>
      <c r="F139" s="137">
        <v>146.27612333306703</v>
      </c>
      <c r="G139" s="218">
        <f t="shared" si="7"/>
        <v>160903.73566637374</v>
      </c>
      <c r="H139" s="196"/>
      <c r="I139" s="196"/>
    </row>
    <row r="140" spans="1:9" ht="18.75">
      <c r="A140" s="156"/>
      <c r="B140" s="126" t="s">
        <v>166</v>
      </c>
      <c r="C140" s="186" t="s">
        <v>295</v>
      </c>
      <c r="D140" s="179" t="s">
        <v>128</v>
      </c>
      <c r="E140" s="178">
        <v>1100</v>
      </c>
      <c r="F140" s="137">
        <v>146.27612333306703</v>
      </c>
      <c r="G140" s="218">
        <f t="shared" si="7"/>
        <v>160903.73566637374</v>
      </c>
      <c r="H140" s="196"/>
      <c r="I140" s="196"/>
    </row>
    <row r="141" spans="1:9" ht="18.75">
      <c r="A141" s="156"/>
      <c r="B141" s="167" t="s">
        <v>42</v>
      </c>
      <c r="C141" s="185" t="s">
        <v>42</v>
      </c>
      <c r="D141" s="220" t="s">
        <v>128</v>
      </c>
      <c r="E141" s="210">
        <v>1100</v>
      </c>
      <c r="F141" s="168">
        <f>SUM(F142:F145)</f>
        <v>492</v>
      </c>
      <c r="G141" s="171">
        <f t="shared" si="7"/>
        <v>541200</v>
      </c>
      <c r="H141" s="196"/>
      <c r="I141" s="196"/>
    </row>
    <row r="142" spans="1:9" ht="18.75">
      <c r="A142" s="156"/>
      <c r="B142" s="126" t="s">
        <v>167</v>
      </c>
      <c r="C142" s="186" t="s">
        <v>16</v>
      </c>
      <c r="D142" s="179" t="s">
        <v>128</v>
      </c>
      <c r="E142" s="178">
        <v>1100</v>
      </c>
      <c r="F142" s="137">
        <v>32.5</v>
      </c>
      <c r="G142" s="218">
        <f t="shared" si="7"/>
        <v>35750</v>
      </c>
      <c r="H142" s="196"/>
      <c r="I142" s="196"/>
    </row>
    <row r="143" spans="1:9" ht="18.75">
      <c r="A143" s="156"/>
      <c r="B143" s="126" t="s">
        <v>168</v>
      </c>
      <c r="C143" s="186" t="s">
        <v>299</v>
      </c>
      <c r="D143" s="179" t="s">
        <v>128</v>
      </c>
      <c r="E143" s="178">
        <v>1100</v>
      </c>
      <c r="F143" s="137">
        <v>110</v>
      </c>
      <c r="G143" s="218">
        <f t="shared" si="7"/>
        <v>121000</v>
      </c>
      <c r="H143" s="196"/>
      <c r="I143" s="196"/>
    </row>
    <row r="144" spans="1:9" ht="18.75">
      <c r="A144" s="156"/>
      <c r="B144" s="126" t="s">
        <v>169</v>
      </c>
      <c r="C144" s="186" t="s">
        <v>299</v>
      </c>
      <c r="D144" s="179" t="s">
        <v>128</v>
      </c>
      <c r="E144" s="178">
        <v>1100</v>
      </c>
      <c r="F144" s="137">
        <v>142.5</v>
      </c>
      <c r="G144" s="218">
        <f t="shared" si="7"/>
        <v>156750</v>
      </c>
      <c r="H144" s="196"/>
      <c r="I144" s="196"/>
    </row>
    <row r="145" spans="1:9" ht="18.75">
      <c r="A145" s="156"/>
      <c r="B145" s="126" t="s">
        <v>170</v>
      </c>
      <c r="C145" s="186" t="s">
        <v>299</v>
      </c>
      <c r="D145" s="179" t="s">
        <v>128</v>
      </c>
      <c r="E145" s="178">
        <v>1100</v>
      </c>
      <c r="F145" s="137">
        <v>206.99999999999997</v>
      </c>
      <c r="G145" s="218">
        <f t="shared" si="7"/>
        <v>227699.99999999997</v>
      </c>
      <c r="H145" s="196"/>
      <c r="I145" s="196"/>
    </row>
    <row r="146" spans="1:9" s="145" customFormat="1" ht="93.75">
      <c r="A146" s="161" t="s">
        <v>190</v>
      </c>
      <c r="B146" s="146" t="s">
        <v>189</v>
      </c>
      <c r="C146" s="184"/>
      <c r="D146" s="219" t="s">
        <v>128</v>
      </c>
      <c r="E146" s="209">
        <v>135</v>
      </c>
      <c r="F146" s="196">
        <f>SUM(F147,F148,F156)</f>
        <v>4902.7732110326124</v>
      </c>
      <c r="G146" s="196">
        <f t="shared" si="7"/>
        <v>661874.38348940271</v>
      </c>
      <c r="H146" s="196"/>
      <c r="I146" s="196"/>
    </row>
    <row r="147" spans="1:9" ht="18.75">
      <c r="A147" s="156"/>
      <c r="B147" s="167" t="s">
        <v>36</v>
      </c>
      <c r="C147" s="185" t="s">
        <v>36</v>
      </c>
      <c r="D147" s="220" t="s">
        <v>128</v>
      </c>
      <c r="E147" s="210">
        <v>135</v>
      </c>
      <c r="F147" s="168">
        <v>3063.6055848538799</v>
      </c>
      <c r="G147" s="171">
        <f t="shared" si="7"/>
        <v>413586.75395527377</v>
      </c>
      <c r="H147" s="196"/>
      <c r="I147" s="196"/>
    </row>
    <row r="148" spans="1:9" ht="18.75">
      <c r="A148" s="156"/>
      <c r="B148" s="167" t="s">
        <v>39</v>
      </c>
      <c r="C148" s="185" t="s">
        <v>39</v>
      </c>
      <c r="D148" s="220" t="s">
        <v>128</v>
      </c>
      <c r="E148" s="210">
        <v>135</v>
      </c>
      <c r="F148" s="168">
        <f>SUM(F149:F155)</f>
        <v>1206.5311521478957</v>
      </c>
      <c r="G148" s="171">
        <f t="shared" si="7"/>
        <v>162881.70553996591</v>
      </c>
      <c r="H148" s="196"/>
      <c r="I148" s="196"/>
    </row>
    <row r="149" spans="1:9" ht="18.75">
      <c r="A149" s="156"/>
      <c r="B149" s="135" t="s">
        <v>161</v>
      </c>
      <c r="C149" s="186" t="s">
        <v>308</v>
      </c>
      <c r="D149" s="179" t="s">
        <v>128</v>
      </c>
      <c r="E149" s="178">
        <v>135</v>
      </c>
      <c r="F149" s="137">
        <v>409.89820940630756</v>
      </c>
      <c r="G149" s="218">
        <f t="shared" si="7"/>
        <v>55336.258269851518</v>
      </c>
      <c r="H149" s="196"/>
      <c r="I149" s="196"/>
    </row>
    <row r="150" spans="1:9" ht="18.75">
      <c r="A150" s="156"/>
      <c r="B150" s="135" t="s">
        <v>162</v>
      </c>
      <c r="C150" s="186" t="s">
        <v>9</v>
      </c>
      <c r="D150" s="179" t="s">
        <v>128</v>
      </c>
      <c r="E150" s="178">
        <v>135</v>
      </c>
      <c r="F150" s="137">
        <v>95.305351104038181</v>
      </c>
      <c r="G150" s="218">
        <f t="shared" si="7"/>
        <v>12866.222399045155</v>
      </c>
      <c r="H150" s="196"/>
      <c r="I150" s="196"/>
    </row>
    <row r="151" spans="1:9" ht="18.75">
      <c r="A151" s="156"/>
      <c r="B151" s="135" t="s">
        <v>136</v>
      </c>
      <c r="C151" s="186" t="s">
        <v>16</v>
      </c>
      <c r="D151" s="179" t="s">
        <v>128</v>
      </c>
      <c r="E151" s="178">
        <v>135</v>
      </c>
      <c r="F151" s="137">
        <v>74.675386130813337</v>
      </c>
      <c r="G151" s="218">
        <f t="shared" si="7"/>
        <v>10081.177127659801</v>
      </c>
      <c r="H151" s="196"/>
      <c r="I151" s="196"/>
    </row>
    <row r="152" spans="1:9" ht="18.75">
      <c r="A152" s="156"/>
      <c r="B152" s="135" t="s">
        <v>163</v>
      </c>
      <c r="C152" s="186" t="s">
        <v>295</v>
      </c>
      <c r="D152" s="179" t="s">
        <v>128</v>
      </c>
      <c r="E152" s="178">
        <v>135</v>
      </c>
      <c r="F152" s="137">
        <v>210.7594671581769</v>
      </c>
      <c r="G152" s="218">
        <f t="shared" si="7"/>
        <v>28452.528066353883</v>
      </c>
      <c r="H152" s="196"/>
      <c r="I152" s="196"/>
    </row>
    <row r="153" spans="1:9" ht="18.75">
      <c r="A153" s="156"/>
      <c r="B153" s="135" t="s">
        <v>164</v>
      </c>
      <c r="C153" s="186" t="s">
        <v>295</v>
      </c>
      <c r="D153" s="179" t="s">
        <v>128</v>
      </c>
      <c r="E153" s="178">
        <v>135</v>
      </c>
      <c r="F153" s="137">
        <v>123.34049168242571</v>
      </c>
      <c r="G153" s="218">
        <f t="shared" si="7"/>
        <v>16650.966377127472</v>
      </c>
      <c r="H153" s="196"/>
      <c r="I153" s="196"/>
    </row>
    <row r="154" spans="1:9" ht="18.75">
      <c r="A154" s="156"/>
      <c r="B154" s="135" t="s">
        <v>165</v>
      </c>
      <c r="C154" s="186" t="s">
        <v>295</v>
      </c>
      <c r="D154" s="179" t="s">
        <v>128</v>
      </c>
      <c r="E154" s="178">
        <v>135</v>
      </c>
      <c r="F154" s="137">
        <v>146.27612333306703</v>
      </c>
      <c r="G154" s="218">
        <f t="shared" si="7"/>
        <v>19747.276649964049</v>
      </c>
      <c r="H154" s="196"/>
      <c r="I154" s="196"/>
    </row>
    <row r="155" spans="1:9" ht="18.75">
      <c r="A155" s="156"/>
      <c r="B155" s="126" t="s">
        <v>166</v>
      </c>
      <c r="C155" s="186" t="s">
        <v>295</v>
      </c>
      <c r="D155" s="179" t="s">
        <v>128</v>
      </c>
      <c r="E155" s="178">
        <v>135</v>
      </c>
      <c r="F155" s="137">
        <v>146.27612333306703</v>
      </c>
      <c r="G155" s="218">
        <f t="shared" si="7"/>
        <v>19747.276649964049</v>
      </c>
      <c r="H155" s="196"/>
      <c r="I155" s="196"/>
    </row>
    <row r="156" spans="1:9" ht="18.75">
      <c r="A156" s="156"/>
      <c r="B156" s="167" t="s">
        <v>42</v>
      </c>
      <c r="C156" s="185" t="s">
        <v>42</v>
      </c>
      <c r="D156" s="220" t="s">
        <v>128</v>
      </c>
      <c r="E156" s="210">
        <v>135</v>
      </c>
      <c r="F156" s="168">
        <f>SUM(F157:F162)</f>
        <v>632.63647403083644</v>
      </c>
      <c r="G156" s="171">
        <f t="shared" si="7"/>
        <v>85405.92399416292</v>
      </c>
      <c r="H156" s="196"/>
      <c r="I156" s="196"/>
    </row>
    <row r="157" spans="1:9" ht="18.75">
      <c r="A157" s="156"/>
      <c r="B157" s="126" t="s">
        <v>167</v>
      </c>
      <c r="C157" s="186" t="s">
        <v>16</v>
      </c>
      <c r="D157" s="179" t="s">
        <v>128</v>
      </c>
      <c r="E157" s="178">
        <v>135</v>
      </c>
      <c r="F157" s="137">
        <v>32.5</v>
      </c>
      <c r="G157" s="218">
        <f t="shared" si="7"/>
        <v>4387.5</v>
      </c>
      <c r="H157" s="196"/>
      <c r="I157" s="196"/>
    </row>
    <row r="158" spans="1:9" ht="18.75">
      <c r="A158" s="156"/>
      <c r="B158" s="126" t="s">
        <v>168</v>
      </c>
      <c r="C158" s="186" t="s">
        <v>299</v>
      </c>
      <c r="D158" s="179" t="s">
        <v>128</v>
      </c>
      <c r="E158" s="178">
        <v>135</v>
      </c>
      <c r="F158" s="137">
        <v>110</v>
      </c>
      <c r="G158" s="218">
        <f t="shared" si="7"/>
        <v>14850</v>
      </c>
      <c r="H158" s="196"/>
      <c r="I158" s="196"/>
    </row>
    <row r="159" spans="1:9" ht="18.75">
      <c r="A159" s="156"/>
      <c r="B159" s="126" t="s">
        <v>169</v>
      </c>
      <c r="C159" s="186" t="s">
        <v>299</v>
      </c>
      <c r="D159" s="179" t="s">
        <v>128</v>
      </c>
      <c r="E159" s="178">
        <v>135</v>
      </c>
      <c r="F159" s="137">
        <v>142.5</v>
      </c>
      <c r="G159" s="218">
        <f t="shared" si="7"/>
        <v>19237.5</v>
      </c>
      <c r="H159" s="196"/>
      <c r="I159" s="196"/>
    </row>
    <row r="160" spans="1:9" ht="18.75">
      <c r="A160" s="156"/>
      <c r="B160" s="126" t="s">
        <v>170</v>
      </c>
      <c r="C160" s="186" t="s">
        <v>299</v>
      </c>
      <c r="D160" s="179" t="s">
        <v>128</v>
      </c>
      <c r="E160" s="178">
        <v>135</v>
      </c>
      <c r="F160" s="137">
        <v>206.99999999999997</v>
      </c>
      <c r="G160" s="218">
        <f t="shared" si="7"/>
        <v>27944.999999999996</v>
      </c>
      <c r="H160" s="196"/>
      <c r="I160" s="196"/>
    </row>
    <row r="161" spans="1:9" ht="18.75">
      <c r="A161" s="156"/>
      <c r="B161" s="126" t="s">
        <v>172</v>
      </c>
      <c r="C161" s="186" t="s">
        <v>309</v>
      </c>
      <c r="D161" s="179" t="s">
        <v>128</v>
      </c>
      <c r="E161" s="178">
        <v>135</v>
      </c>
      <c r="F161" s="137">
        <v>30.6750129048311</v>
      </c>
      <c r="G161" s="218">
        <f t="shared" si="7"/>
        <v>4141.1267421521989</v>
      </c>
      <c r="H161" s="196"/>
      <c r="I161" s="196"/>
    </row>
    <row r="162" spans="1:9" ht="18.75">
      <c r="A162" s="156"/>
      <c r="B162" s="126" t="s">
        <v>173</v>
      </c>
      <c r="C162" s="186" t="s">
        <v>310</v>
      </c>
      <c r="D162" s="179" t="s">
        <v>128</v>
      </c>
      <c r="E162" s="178">
        <v>135</v>
      </c>
      <c r="F162" s="137">
        <v>109.96146112600536</v>
      </c>
      <c r="G162" s="218">
        <f t="shared" si="7"/>
        <v>14844.797252010723</v>
      </c>
      <c r="H162" s="196"/>
      <c r="I162" s="196"/>
    </row>
    <row r="163" spans="1:9" s="145" customFormat="1" ht="56.25">
      <c r="A163" s="161" t="s">
        <v>194</v>
      </c>
      <c r="B163" s="146" t="s">
        <v>193</v>
      </c>
      <c r="C163" s="184"/>
      <c r="D163" s="219" t="s">
        <v>128</v>
      </c>
      <c r="E163" s="209">
        <v>35</v>
      </c>
      <c r="F163" s="196">
        <f>SUM(F164,F165,F173)</f>
        <v>4902.7732110326124</v>
      </c>
      <c r="G163" s="196">
        <f t="shared" si="7"/>
        <v>171597.06238614142</v>
      </c>
      <c r="H163" s="196"/>
      <c r="I163" s="196"/>
    </row>
    <row r="164" spans="1:9" ht="18.75">
      <c r="A164" s="156"/>
      <c r="B164" s="164" t="s">
        <v>36</v>
      </c>
      <c r="C164" s="189" t="s">
        <v>36</v>
      </c>
      <c r="D164" s="223" t="s">
        <v>128</v>
      </c>
      <c r="E164" s="213">
        <v>35</v>
      </c>
      <c r="F164" s="165">
        <v>3063.6055848538799</v>
      </c>
      <c r="G164" s="166">
        <f t="shared" si="7"/>
        <v>107226.1954698858</v>
      </c>
      <c r="H164" s="196"/>
      <c r="I164" s="196"/>
    </row>
    <row r="165" spans="1:9" ht="18.75">
      <c r="A165" s="156"/>
      <c r="B165" s="164" t="s">
        <v>39</v>
      </c>
      <c r="C165" s="189" t="s">
        <v>39</v>
      </c>
      <c r="D165" s="223" t="s">
        <v>128</v>
      </c>
      <c r="E165" s="213">
        <v>35</v>
      </c>
      <c r="F165" s="165">
        <f>SUM(F166:F172)</f>
        <v>1206.5311521478957</v>
      </c>
      <c r="G165" s="166">
        <f t="shared" si="7"/>
        <v>42228.590325176352</v>
      </c>
      <c r="H165" s="196"/>
      <c r="I165" s="196"/>
    </row>
    <row r="166" spans="1:9" ht="18.75">
      <c r="A166" s="156"/>
      <c r="B166" s="135" t="s">
        <v>161</v>
      </c>
      <c r="C166" s="186" t="s">
        <v>308</v>
      </c>
      <c r="D166" s="179" t="s">
        <v>128</v>
      </c>
      <c r="E166" s="178">
        <v>35</v>
      </c>
      <c r="F166" s="137">
        <v>409.89820940630756</v>
      </c>
      <c r="G166" s="218">
        <f t="shared" si="7"/>
        <v>14346.437329220764</v>
      </c>
      <c r="H166" s="196"/>
      <c r="I166" s="196"/>
    </row>
    <row r="167" spans="1:9" ht="18.75">
      <c r="A167" s="156"/>
      <c r="B167" s="135" t="s">
        <v>162</v>
      </c>
      <c r="C167" s="186" t="s">
        <v>9</v>
      </c>
      <c r="D167" s="179" t="s">
        <v>128</v>
      </c>
      <c r="E167" s="178">
        <v>35</v>
      </c>
      <c r="F167" s="137">
        <v>95.305351104038181</v>
      </c>
      <c r="G167" s="218">
        <f t="shared" si="7"/>
        <v>3335.6872886413362</v>
      </c>
      <c r="H167" s="196"/>
      <c r="I167" s="196"/>
    </row>
    <row r="168" spans="1:9" ht="18.75">
      <c r="A168" s="156"/>
      <c r="B168" s="135" t="s">
        <v>136</v>
      </c>
      <c r="C168" s="186" t="s">
        <v>16</v>
      </c>
      <c r="D168" s="179" t="s">
        <v>128</v>
      </c>
      <c r="E168" s="178">
        <v>35</v>
      </c>
      <c r="F168" s="137">
        <v>74.675386130813337</v>
      </c>
      <c r="G168" s="218">
        <f t="shared" si="7"/>
        <v>2613.6385145784666</v>
      </c>
      <c r="H168" s="196"/>
      <c r="I168" s="196"/>
    </row>
    <row r="169" spans="1:9" ht="18.75">
      <c r="A169" s="156"/>
      <c r="B169" s="135" t="s">
        <v>163</v>
      </c>
      <c r="C169" s="186" t="s">
        <v>295</v>
      </c>
      <c r="D169" s="179" t="s">
        <v>128</v>
      </c>
      <c r="E169" s="178">
        <v>35</v>
      </c>
      <c r="F169" s="137">
        <v>210.7594671581769</v>
      </c>
      <c r="G169" s="218">
        <f t="shared" si="7"/>
        <v>7376.5813505361912</v>
      </c>
      <c r="H169" s="196"/>
      <c r="I169" s="196"/>
    </row>
    <row r="170" spans="1:9" ht="18.75">
      <c r="A170" s="156"/>
      <c r="B170" s="135" t="s">
        <v>164</v>
      </c>
      <c r="C170" s="186" t="s">
        <v>295</v>
      </c>
      <c r="D170" s="179" t="s">
        <v>128</v>
      </c>
      <c r="E170" s="178">
        <v>35</v>
      </c>
      <c r="F170" s="137">
        <v>123.34049168242571</v>
      </c>
      <c r="G170" s="218">
        <f t="shared" si="7"/>
        <v>4316.9172088849</v>
      </c>
      <c r="H170" s="196"/>
      <c r="I170" s="196"/>
    </row>
    <row r="171" spans="1:9" ht="18.75">
      <c r="A171" s="156"/>
      <c r="B171" s="135" t="s">
        <v>165</v>
      </c>
      <c r="C171" s="186" t="s">
        <v>295</v>
      </c>
      <c r="D171" s="179" t="s">
        <v>128</v>
      </c>
      <c r="E171" s="178">
        <v>35</v>
      </c>
      <c r="F171" s="137">
        <v>146.27612333306703</v>
      </c>
      <c r="G171" s="218">
        <f t="shared" si="7"/>
        <v>5119.6643166573458</v>
      </c>
      <c r="H171" s="196"/>
      <c r="I171" s="196"/>
    </row>
    <row r="172" spans="1:9" ht="18.75">
      <c r="A172" s="156"/>
      <c r="B172" s="126" t="s">
        <v>166</v>
      </c>
      <c r="C172" s="186" t="s">
        <v>295</v>
      </c>
      <c r="D172" s="179" t="s">
        <v>128</v>
      </c>
      <c r="E172" s="178">
        <v>35</v>
      </c>
      <c r="F172" s="137">
        <v>146.27612333306703</v>
      </c>
      <c r="G172" s="218">
        <f t="shared" si="7"/>
        <v>5119.6643166573458</v>
      </c>
      <c r="H172" s="196"/>
      <c r="I172" s="196"/>
    </row>
    <row r="173" spans="1:9" ht="18.75">
      <c r="A173" s="156"/>
      <c r="B173" s="164" t="s">
        <v>42</v>
      </c>
      <c r="C173" s="189" t="s">
        <v>42</v>
      </c>
      <c r="D173" s="223" t="s">
        <v>128</v>
      </c>
      <c r="E173" s="213">
        <v>35</v>
      </c>
      <c r="F173" s="165">
        <f>SUM(F174:F179)</f>
        <v>632.63647403083644</v>
      </c>
      <c r="G173" s="166">
        <f t="shared" si="7"/>
        <v>22142.276591079277</v>
      </c>
      <c r="H173" s="196"/>
      <c r="I173" s="196"/>
    </row>
    <row r="174" spans="1:9" ht="18.75">
      <c r="A174" s="156"/>
      <c r="B174" s="126" t="s">
        <v>167</v>
      </c>
      <c r="C174" s="186" t="s">
        <v>16</v>
      </c>
      <c r="D174" s="179" t="s">
        <v>128</v>
      </c>
      <c r="E174" s="178">
        <v>35</v>
      </c>
      <c r="F174" s="137">
        <v>32.5</v>
      </c>
      <c r="G174" s="218">
        <f t="shared" si="7"/>
        <v>1137.5</v>
      </c>
      <c r="H174" s="196"/>
      <c r="I174" s="196"/>
    </row>
    <row r="175" spans="1:9" ht="18.75">
      <c r="A175" s="156"/>
      <c r="B175" s="126" t="s">
        <v>168</v>
      </c>
      <c r="C175" s="186" t="s">
        <v>299</v>
      </c>
      <c r="D175" s="179" t="s">
        <v>128</v>
      </c>
      <c r="E175" s="178">
        <v>35</v>
      </c>
      <c r="F175" s="137">
        <v>110</v>
      </c>
      <c r="G175" s="218">
        <f t="shared" si="7"/>
        <v>3850</v>
      </c>
      <c r="H175" s="196"/>
      <c r="I175" s="196"/>
    </row>
    <row r="176" spans="1:9" ht="18.75">
      <c r="A176" s="156"/>
      <c r="B176" s="126" t="s">
        <v>169</v>
      </c>
      <c r="C176" s="186" t="s">
        <v>299</v>
      </c>
      <c r="D176" s="179" t="s">
        <v>128</v>
      </c>
      <c r="E176" s="178">
        <v>35</v>
      </c>
      <c r="F176" s="137">
        <v>142.5</v>
      </c>
      <c r="G176" s="218">
        <f t="shared" si="7"/>
        <v>4987.5</v>
      </c>
      <c r="H176" s="196"/>
      <c r="I176" s="196"/>
    </row>
    <row r="177" spans="1:9" ht="18.75">
      <c r="A177" s="156"/>
      <c r="B177" s="126" t="s">
        <v>170</v>
      </c>
      <c r="C177" s="186" t="s">
        <v>299</v>
      </c>
      <c r="D177" s="179" t="s">
        <v>128</v>
      </c>
      <c r="E177" s="178">
        <v>35</v>
      </c>
      <c r="F177" s="137">
        <v>206.99999999999997</v>
      </c>
      <c r="G177" s="218">
        <f t="shared" si="7"/>
        <v>7244.9999999999991</v>
      </c>
      <c r="H177" s="196"/>
      <c r="I177" s="196"/>
    </row>
    <row r="178" spans="1:9" ht="18.75">
      <c r="A178" s="156"/>
      <c r="B178" s="126" t="s">
        <v>172</v>
      </c>
      <c r="C178" s="186" t="s">
        <v>309</v>
      </c>
      <c r="D178" s="179" t="s">
        <v>128</v>
      </c>
      <c r="E178" s="178">
        <v>35</v>
      </c>
      <c r="F178" s="137">
        <v>30.6750129048311</v>
      </c>
      <c r="G178" s="218">
        <f t="shared" si="7"/>
        <v>1073.6254516690885</v>
      </c>
      <c r="H178" s="196"/>
      <c r="I178" s="196"/>
    </row>
    <row r="179" spans="1:9" ht="18.75">
      <c r="A179" s="156"/>
      <c r="B179" s="126" t="s">
        <v>173</v>
      </c>
      <c r="C179" s="186" t="s">
        <v>310</v>
      </c>
      <c r="D179" s="179" t="s">
        <v>128</v>
      </c>
      <c r="E179" s="178">
        <v>35</v>
      </c>
      <c r="F179" s="137">
        <v>109.96146112600536</v>
      </c>
      <c r="G179" s="218">
        <f t="shared" si="7"/>
        <v>3848.6511394101876</v>
      </c>
      <c r="H179" s="196"/>
      <c r="I179" s="196"/>
    </row>
    <row r="180" spans="1:9" s="145" customFormat="1" ht="56.25">
      <c r="A180" s="161" t="s">
        <v>196</v>
      </c>
      <c r="B180" s="146" t="s">
        <v>195</v>
      </c>
      <c r="C180" s="184"/>
      <c r="D180" s="219" t="s">
        <v>128</v>
      </c>
      <c r="E180" s="209">
        <v>200</v>
      </c>
      <c r="F180" s="196">
        <f>SUM(F181,F182,F189)</f>
        <v>7546.5421897857268</v>
      </c>
      <c r="G180" s="196">
        <f t="shared" si="7"/>
        <v>1509308.4379571453</v>
      </c>
      <c r="H180" s="196"/>
      <c r="I180" s="196"/>
    </row>
    <row r="181" spans="1:9" ht="18.75">
      <c r="A181" s="156"/>
      <c r="B181" s="164" t="s">
        <v>36</v>
      </c>
      <c r="C181" s="189" t="s">
        <v>36</v>
      </c>
      <c r="D181" s="223" t="s">
        <v>128</v>
      </c>
      <c r="E181" s="213">
        <v>200</v>
      </c>
      <c r="F181" s="165">
        <v>5764.8716938818634</v>
      </c>
      <c r="G181" s="166">
        <f t="shared" si="7"/>
        <v>1152974.3387763726</v>
      </c>
      <c r="H181" s="196"/>
      <c r="I181" s="196"/>
    </row>
    <row r="182" spans="1:9" ht="18.75">
      <c r="A182" s="156"/>
      <c r="B182" s="164" t="s">
        <v>39</v>
      </c>
      <c r="C182" s="189" t="s">
        <v>39</v>
      </c>
      <c r="D182" s="223" t="s">
        <v>128</v>
      </c>
      <c r="E182" s="213">
        <v>200</v>
      </c>
      <c r="F182" s="165">
        <f>SUM(F183:F188)</f>
        <v>1149.0340218730271</v>
      </c>
      <c r="G182" s="166">
        <f t="shared" si="7"/>
        <v>229806.80437460542</v>
      </c>
      <c r="H182" s="196"/>
      <c r="I182" s="196"/>
    </row>
    <row r="183" spans="1:9" ht="18.75">
      <c r="A183" s="156"/>
      <c r="B183" s="135" t="s">
        <v>161</v>
      </c>
      <c r="C183" s="186" t="s">
        <v>308</v>
      </c>
      <c r="D183" s="179" t="s">
        <v>128</v>
      </c>
      <c r="E183" s="178">
        <v>200</v>
      </c>
      <c r="F183" s="137">
        <v>409.89820940630756</v>
      </c>
      <c r="G183" s="218">
        <f t="shared" si="7"/>
        <v>81979.641881261516</v>
      </c>
      <c r="H183" s="196"/>
      <c r="I183" s="196"/>
    </row>
    <row r="184" spans="1:9" ht="18.75">
      <c r="A184" s="156"/>
      <c r="B184" s="135" t="s">
        <v>162</v>
      </c>
      <c r="C184" s="186" t="s">
        <v>9</v>
      </c>
      <c r="D184" s="179" t="s">
        <v>128</v>
      </c>
      <c r="E184" s="178">
        <v>200</v>
      </c>
      <c r="F184" s="137">
        <v>95.305351104038181</v>
      </c>
      <c r="G184" s="218">
        <f t="shared" si="7"/>
        <v>19061.070220807636</v>
      </c>
      <c r="H184" s="196"/>
      <c r="I184" s="196"/>
    </row>
    <row r="185" spans="1:9" ht="18.75">
      <c r="A185" s="156"/>
      <c r="B185" s="135" t="s">
        <v>136</v>
      </c>
      <c r="C185" s="186" t="s">
        <v>16</v>
      </c>
      <c r="D185" s="179" t="s">
        <v>128</v>
      </c>
      <c r="E185" s="178">
        <v>200</v>
      </c>
      <c r="F185" s="137">
        <v>140.51874753837043</v>
      </c>
      <c r="G185" s="218">
        <f t="shared" si="7"/>
        <v>28103.749507674085</v>
      </c>
      <c r="H185" s="196"/>
      <c r="I185" s="196"/>
    </row>
    <row r="186" spans="1:9" ht="18.75">
      <c r="A186" s="156"/>
      <c r="B186" s="135" t="s">
        <v>163</v>
      </c>
      <c r="C186" s="186" t="s">
        <v>295</v>
      </c>
      <c r="D186" s="179" t="s">
        <v>128</v>
      </c>
      <c r="E186" s="178">
        <v>200</v>
      </c>
      <c r="F186" s="137">
        <v>210.7594671581769</v>
      </c>
      <c r="G186" s="218">
        <f t="shared" si="7"/>
        <v>42151.893431635384</v>
      </c>
      <c r="H186" s="196"/>
      <c r="I186" s="196"/>
    </row>
    <row r="187" spans="1:9" ht="18.75">
      <c r="A187" s="156"/>
      <c r="B187" s="135" t="s">
        <v>165</v>
      </c>
      <c r="C187" s="186" t="s">
        <v>295</v>
      </c>
      <c r="D187" s="179" t="s">
        <v>128</v>
      </c>
      <c r="E187" s="178">
        <v>200</v>
      </c>
      <c r="F187" s="137">
        <v>146.27612333306703</v>
      </c>
      <c r="G187" s="218">
        <f t="shared" si="7"/>
        <v>29255.224666613405</v>
      </c>
      <c r="H187" s="196"/>
      <c r="I187" s="196"/>
    </row>
    <row r="188" spans="1:9" ht="18.75">
      <c r="A188" s="156"/>
      <c r="B188" s="126" t="s">
        <v>166</v>
      </c>
      <c r="C188" s="186" t="s">
        <v>295</v>
      </c>
      <c r="D188" s="179" t="s">
        <v>128</v>
      </c>
      <c r="E188" s="178">
        <v>200</v>
      </c>
      <c r="F188" s="137">
        <v>146.27612333306703</v>
      </c>
      <c r="G188" s="218">
        <f t="shared" ref="G188:G251" si="8">(F188*E188)</f>
        <v>29255.224666613405</v>
      </c>
      <c r="H188" s="196"/>
      <c r="I188" s="196"/>
    </row>
    <row r="189" spans="1:9" ht="18.75">
      <c r="A189" s="156"/>
      <c r="B189" s="164" t="s">
        <v>42</v>
      </c>
      <c r="C189" s="189" t="s">
        <v>42</v>
      </c>
      <c r="D189" s="223" t="s">
        <v>128</v>
      </c>
      <c r="E189" s="213">
        <v>200</v>
      </c>
      <c r="F189" s="165">
        <f>SUM(F190:F195)</f>
        <v>632.63647403083644</v>
      </c>
      <c r="G189" s="166">
        <f t="shared" si="8"/>
        <v>126527.29480616729</v>
      </c>
      <c r="H189" s="196"/>
      <c r="I189" s="196"/>
    </row>
    <row r="190" spans="1:9" ht="18.75">
      <c r="A190" s="156"/>
      <c r="B190" s="126" t="s">
        <v>167</v>
      </c>
      <c r="C190" s="186" t="s">
        <v>16</v>
      </c>
      <c r="D190" s="179" t="s">
        <v>128</v>
      </c>
      <c r="E190" s="178">
        <v>200</v>
      </c>
      <c r="F190" s="137">
        <v>32.5</v>
      </c>
      <c r="G190" s="218">
        <f t="shared" si="8"/>
        <v>6500</v>
      </c>
      <c r="H190" s="196"/>
      <c r="I190" s="196"/>
    </row>
    <row r="191" spans="1:9" ht="18.75">
      <c r="A191" s="156"/>
      <c r="B191" s="126" t="s">
        <v>168</v>
      </c>
      <c r="C191" s="186" t="s">
        <v>299</v>
      </c>
      <c r="D191" s="179" t="s">
        <v>128</v>
      </c>
      <c r="E191" s="178">
        <v>200</v>
      </c>
      <c r="F191" s="137">
        <v>110</v>
      </c>
      <c r="G191" s="218">
        <f t="shared" si="8"/>
        <v>22000</v>
      </c>
      <c r="H191" s="196"/>
      <c r="I191" s="196"/>
    </row>
    <row r="192" spans="1:9" ht="18.75">
      <c r="A192" s="156"/>
      <c r="B192" s="126" t="s">
        <v>169</v>
      </c>
      <c r="C192" s="186" t="s">
        <v>299</v>
      </c>
      <c r="D192" s="179" t="s">
        <v>128</v>
      </c>
      <c r="E192" s="178">
        <v>200</v>
      </c>
      <c r="F192" s="137">
        <v>142.5</v>
      </c>
      <c r="G192" s="218">
        <f t="shared" si="8"/>
        <v>28500</v>
      </c>
      <c r="H192" s="196"/>
      <c r="I192" s="196"/>
    </row>
    <row r="193" spans="1:9" ht="18.75">
      <c r="A193" s="156"/>
      <c r="B193" s="126" t="s">
        <v>170</v>
      </c>
      <c r="C193" s="186" t="s">
        <v>299</v>
      </c>
      <c r="D193" s="179" t="s">
        <v>128</v>
      </c>
      <c r="E193" s="178">
        <v>200</v>
      </c>
      <c r="F193" s="137">
        <v>206.99999999999997</v>
      </c>
      <c r="G193" s="218">
        <f t="shared" si="8"/>
        <v>41399.999999999993</v>
      </c>
      <c r="H193" s="196"/>
      <c r="I193" s="196"/>
    </row>
    <row r="194" spans="1:9" ht="18.75">
      <c r="A194" s="156"/>
      <c r="B194" s="126" t="s">
        <v>172</v>
      </c>
      <c r="C194" s="186" t="s">
        <v>309</v>
      </c>
      <c r="D194" s="179" t="s">
        <v>128</v>
      </c>
      <c r="E194" s="178">
        <v>200</v>
      </c>
      <c r="F194" s="137">
        <v>30.6750129048311</v>
      </c>
      <c r="G194" s="218">
        <f t="shared" si="8"/>
        <v>6135.0025809662202</v>
      </c>
      <c r="H194" s="196"/>
      <c r="I194" s="196"/>
    </row>
    <row r="195" spans="1:9" ht="18.75">
      <c r="A195" s="156"/>
      <c r="B195" s="126" t="s">
        <v>173</v>
      </c>
      <c r="C195" s="186" t="s">
        <v>310</v>
      </c>
      <c r="D195" s="179" t="s">
        <v>128</v>
      </c>
      <c r="E195" s="178">
        <v>200</v>
      </c>
      <c r="F195" s="137">
        <v>109.96146112600536</v>
      </c>
      <c r="G195" s="218">
        <f t="shared" si="8"/>
        <v>21992.292225201072</v>
      </c>
      <c r="H195" s="196"/>
      <c r="I195" s="196"/>
    </row>
    <row r="196" spans="1:9" s="145" customFormat="1" ht="18.75">
      <c r="A196" s="161" t="s">
        <v>198</v>
      </c>
      <c r="B196" s="146" t="s">
        <v>197</v>
      </c>
      <c r="C196" s="184"/>
      <c r="D196" s="219" t="s">
        <v>199</v>
      </c>
      <c r="E196" s="209">
        <v>500</v>
      </c>
      <c r="F196" s="196">
        <f>SUM(F197,F198,F200)</f>
        <v>438.55915114690441</v>
      </c>
      <c r="G196" s="196">
        <f t="shared" si="8"/>
        <v>219279.5755734522</v>
      </c>
      <c r="H196" s="196"/>
      <c r="I196" s="196"/>
    </row>
    <row r="197" spans="1:9" ht="18.75">
      <c r="A197" s="156"/>
      <c r="B197" s="164" t="s">
        <v>36</v>
      </c>
      <c r="C197" s="191" t="s">
        <v>36</v>
      </c>
      <c r="D197" s="223" t="s">
        <v>199</v>
      </c>
      <c r="E197" s="213">
        <v>500</v>
      </c>
      <c r="F197" s="165">
        <v>290.05068774726374</v>
      </c>
      <c r="G197" s="166">
        <f t="shared" si="8"/>
        <v>145025.34387363188</v>
      </c>
      <c r="H197" s="196"/>
      <c r="I197" s="196"/>
    </row>
    <row r="198" spans="1:9" ht="18.75">
      <c r="A198" s="156"/>
      <c r="B198" s="164" t="s">
        <v>39</v>
      </c>
      <c r="C198" s="191" t="s">
        <v>39</v>
      </c>
      <c r="D198" s="223" t="s">
        <v>199</v>
      </c>
      <c r="E198" s="213">
        <v>500</v>
      </c>
      <c r="F198" s="165">
        <f>F199</f>
        <v>9.8979797193753782</v>
      </c>
      <c r="G198" s="166">
        <f t="shared" si="8"/>
        <v>4948.9898596876892</v>
      </c>
      <c r="H198" s="196"/>
      <c r="I198" s="196"/>
    </row>
    <row r="199" spans="1:9" ht="18.75">
      <c r="A199" s="156"/>
      <c r="B199" s="135" t="s">
        <v>136</v>
      </c>
      <c r="C199" s="186" t="s">
        <v>16</v>
      </c>
      <c r="D199" s="179" t="s">
        <v>199</v>
      </c>
      <c r="E199" s="178">
        <v>500</v>
      </c>
      <c r="F199" s="137">
        <v>9.8979797193753782</v>
      </c>
      <c r="G199" s="218">
        <f t="shared" si="8"/>
        <v>4948.9898596876892</v>
      </c>
      <c r="H199" s="196"/>
      <c r="I199" s="196"/>
    </row>
    <row r="200" spans="1:9" ht="18.75">
      <c r="A200" s="156"/>
      <c r="B200" s="164" t="s">
        <v>42</v>
      </c>
      <c r="C200" s="191" t="s">
        <v>42</v>
      </c>
      <c r="D200" s="223" t="s">
        <v>199</v>
      </c>
      <c r="E200" s="213">
        <v>500</v>
      </c>
      <c r="F200" s="165">
        <f>SUM(F201:F202)</f>
        <v>138.6104836802653</v>
      </c>
      <c r="G200" s="166">
        <f t="shared" si="8"/>
        <v>69305.241840132658</v>
      </c>
      <c r="H200" s="196"/>
      <c r="I200" s="196"/>
    </row>
    <row r="201" spans="1:9" ht="18.75">
      <c r="A201" s="156"/>
      <c r="B201" s="126" t="s">
        <v>204</v>
      </c>
      <c r="C201" s="186" t="s">
        <v>309</v>
      </c>
      <c r="D201" s="179" t="s">
        <v>199</v>
      </c>
      <c r="E201" s="178">
        <v>500</v>
      </c>
      <c r="F201" s="137">
        <v>74.382045711606693</v>
      </c>
      <c r="G201" s="218">
        <f t="shared" si="8"/>
        <v>37191.022855803349</v>
      </c>
      <c r="H201" s="196"/>
      <c r="I201" s="196"/>
    </row>
    <row r="202" spans="1:9" ht="18.75">
      <c r="A202" s="156"/>
      <c r="B202" s="126" t="s">
        <v>205</v>
      </c>
      <c r="C202" s="186" t="s">
        <v>299</v>
      </c>
      <c r="D202" s="179" t="s">
        <v>199</v>
      </c>
      <c r="E202" s="178">
        <v>500</v>
      </c>
      <c r="F202" s="137">
        <v>64.228437968658596</v>
      </c>
      <c r="G202" s="218">
        <f t="shared" si="8"/>
        <v>32114.218984329298</v>
      </c>
      <c r="H202" s="196"/>
      <c r="I202" s="196"/>
    </row>
    <row r="203" spans="1:9" s="145" customFormat="1" ht="37.5">
      <c r="A203" s="161" t="s">
        <v>207</v>
      </c>
      <c r="B203" s="146" t="s">
        <v>206</v>
      </c>
      <c r="C203" s="184"/>
      <c r="D203" s="219" t="s">
        <v>199</v>
      </c>
      <c r="E203" s="209">
        <v>500</v>
      </c>
      <c r="F203" s="196">
        <f>SUM(F204,F205,F207)</f>
        <v>468.55401789356779</v>
      </c>
      <c r="G203" s="196">
        <f t="shared" si="8"/>
        <v>234277.0089467839</v>
      </c>
      <c r="H203" s="196"/>
      <c r="I203" s="196"/>
    </row>
    <row r="204" spans="1:9" ht="18.75">
      <c r="A204" s="156"/>
      <c r="B204" s="164" t="s">
        <v>36</v>
      </c>
      <c r="C204" s="191" t="s">
        <v>36</v>
      </c>
      <c r="D204" s="223" t="s">
        <v>199</v>
      </c>
      <c r="E204" s="213">
        <v>500</v>
      </c>
      <c r="F204" s="165">
        <v>319.05575652198957</v>
      </c>
      <c r="G204" s="166">
        <f t="shared" si="8"/>
        <v>159527.8782609948</v>
      </c>
      <c r="H204" s="196"/>
      <c r="I204" s="196"/>
    </row>
    <row r="205" spans="1:9" ht="18.75">
      <c r="A205" s="156"/>
      <c r="B205" s="164" t="s">
        <v>39</v>
      </c>
      <c r="C205" s="191" t="s">
        <v>39</v>
      </c>
      <c r="D205" s="223" t="s">
        <v>199</v>
      </c>
      <c r="E205" s="213">
        <v>500</v>
      </c>
      <c r="F205" s="165">
        <f>F206</f>
        <v>10.887777691312897</v>
      </c>
      <c r="G205" s="166">
        <f t="shared" si="8"/>
        <v>5443.8888456564482</v>
      </c>
      <c r="H205" s="196"/>
      <c r="I205" s="196"/>
    </row>
    <row r="206" spans="1:9" ht="18.75">
      <c r="A206" s="156"/>
      <c r="B206" s="135" t="s">
        <v>136</v>
      </c>
      <c r="C206" s="186" t="s">
        <v>16</v>
      </c>
      <c r="D206" s="179" t="s">
        <v>199</v>
      </c>
      <c r="E206" s="178">
        <v>500</v>
      </c>
      <c r="F206" s="137">
        <v>10.887777691312897</v>
      </c>
      <c r="G206" s="218">
        <f t="shared" si="8"/>
        <v>5443.8888456564482</v>
      </c>
      <c r="H206" s="196"/>
      <c r="I206" s="196"/>
    </row>
    <row r="207" spans="1:9" ht="18.75">
      <c r="A207" s="156"/>
      <c r="B207" s="164" t="s">
        <v>42</v>
      </c>
      <c r="C207" s="191" t="s">
        <v>42</v>
      </c>
      <c r="D207" s="223" t="s">
        <v>199</v>
      </c>
      <c r="E207" s="213">
        <v>500</v>
      </c>
      <c r="F207" s="165">
        <f>SUM(F208:F209)</f>
        <v>138.6104836802653</v>
      </c>
      <c r="G207" s="166">
        <f t="shared" si="8"/>
        <v>69305.241840132658</v>
      </c>
      <c r="H207" s="196"/>
      <c r="I207" s="196"/>
    </row>
    <row r="208" spans="1:9" ht="18.75">
      <c r="A208" s="156"/>
      <c r="B208" s="126" t="s">
        <v>204</v>
      </c>
      <c r="C208" s="186" t="s">
        <v>309</v>
      </c>
      <c r="D208" s="179" t="s">
        <v>199</v>
      </c>
      <c r="E208" s="178">
        <v>500</v>
      </c>
      <c r="F208" s="137">
        <v>74.382045711606693</v>
      </c>
      <c r="G208" s="218">
        <f t="shared" si="8"/>
        <v>37191.022855803349</v>
      </c>
      <c r="H208" s="196"/>
      <c r="I208" s="196"/>
    </row>
    <row r="209" spans="1:9" ht="18.75">
      <c r="A209" s="156"/>
      <c r="B209" s="126" t="s">
        <v>205</v>
      </c>
      <c r="C209" s="186" t="s">
        <v>299</v>
      </c>
      <c r="D209" s="179" t="s">
        <v>199</v>
      </c>
      <c r="E209" s="178">
        <v>500</v>
      </c>
      <c r="F209" s="137">
        <v>64.228437968658596</v>
      </c>
      <c r="G209" s="218">
        <f t="shared" si="8"/>
        <v>32114.218984329298</v>
      </c>
      <c r="H209" s="196"/>
      <c r="I209" s="196"/>
    </row>
    <row r="210" spans="1:9" s="145" customFormat="1" ht="18.75">
      <c r="A210" s="157" t="s">
        <v>209</v>
      </c>
      <c r="B210" s="146" t="s">
        <v>208</v>
      </c>
      <c r="C210" s="184"/>
      <c r="D210" s="219" t="s">
        <v>199</v>
      </c>
      <c r="E210" s="209">
        <v>250</v>
      </c>
      <c r="F210" s="196">
        <f>SUM(F211,F212,F214)</f>
        <v>468.55401789356779</v>
      </c>
      <c r="G210" s="196">
        <f t="shared" si="8"/>
        <v>117138.50447339195</v>
      </c>
      <c r="H210" s="196"/>
      <c r="I210" s="196"/>
    </row>
    <row r="211" spans="1:9" ht="18.75">
      <c r="A211" s="156"/>
      <c r="B211" s="164" t="s">
        <v>36</v>
      </c>
      <c r="C211" s="191" t="s">
        <v>36</v>
      </c>
      <c r="D211" s="223" t="s">
        <v>199</v>
      </c>
      <c r="E211" s="213">
        <v>250</v>
      </c>
      <c r="F211" s="165">
        <v>319.05575652198957</v>
      </c>
      <c r="G211" s="166">
        <f t="shared" si="8"/>
        <v>79763.939130497398</v>
      </c>
      <c r="H211" s="196"/>
      <c r="I211" s="196"/>
    </row>
    <row r="212" spans="1:9" ht="18.75">
      <c r="A212" s="156"/>
      <c r="B212" s="164" t="s">
        <v>39</v>
      </c>
      <c r="C212" s="191" t="s">
        <v>39</v>
      </c>
      <c r="D212" s="223" t="s">
        <v>199</v>
      </c>
      <c r="E212" s="213">
        <v>250</v>
      </c>
      <c r="F212" s="165">
        <f>F213</f>
        <v>10.887777691312897</v>
      </c>
      <c r="G212" s="166">
        <f t="shared" si="8"/>
        <v>2721.9444228282241</v>
      </c>
      <c r="H212" s="196"/>
      <c r="I212" s="196"/>
    </row>
    <row r="213" spans="1:9" ht="18.75">
      <c r="A213" s="156"/>
      <c r="B213" s="135" t="s">
        <v>136</v>
      </c>
      <c r="C213" s="186" t="s">
        <v>16</v>
      </c>
      <c r="D213" s="179" t="s">
        <v>199</v>
      </c>
      <c r="E213" s="178">
        <v>250</v>
      </c>
      <c r="F213" s="137">
        <v>10.887777691312897</v>
      </c>
      <c r="G213" s="218">
        <f t="shared" si="8"/>
        <v>2721.9444228282241</v>
      </c>
      <c r="H213" s="196"/>
      <c r="I213" s="196"/>
    </row>
    <row r="214" spans="1:9" ht="18.75">
      <c r="A214" s="156"/>
      <c r="B214" s="164" t="s">
        <v>42</v>
      </c>
      <c r="C214" s="191" t="s">
        <v>42</v>
      </c>
      <c r="D214" s="223" t="s">
        <v>199</v>
      </c>
      <c r="E214" s="213">
        <v>250</v>
      </c>
      <c r="F214" s="165">
        <f>SUM(F215:F216)</f>
        <v>138.6104836802653</v>
      </c>
      <c r="G214" s="166">
        <f t="shared" si="8"/>
        <v>34652.620920066329</v>
      </c>
      <c r="H214" s="196"/>
      <c r="I214" s="196"/>
    </row>
    <row r="215" spans="1:9" ht="18.75">
      <c r="A215" s="156"/>
      <c r="B215" s="126" t="s">
        <v>204</v>
      </c>
      <c r="C215" s="186" t="s">
        <v>309</v>
      </c>
      <c r="D215" s="179" t="s">
        <v>199</v>
      </c>
      <c r="E215" s="178">
        <v>250</v>
      </c>
      <c r="F215" s="137">
        <v>74.382045711606693</v>
      </c>
      <c r="G215" s="218">
        <f t="shared" si="8"/>
        <v>18595.511427901674</v>
      </c>
      <c r="H215" s="196"/>
      <c r="I215" s="196"/>
    </row>
    <row r="216" spans="1:9" ht="18.75">
      <c r="A216" s="156"/>
      <c r="B216" s="126" t="s">
        <v>205</v>
      </c>
      <c r="C216" s="186" t="s">
        <v>299</v>
      </c>
      <c r="D216" s="179" t="s">
        <v>199</v>
      </c>
      <c r="E216" s="178">
        <v>250</v>
      </c>
      <c r="F216" s="137">
        <v>64.228437968658596</v>
      </c>
      <c r="G216" s="218">
        <f t="shared" si="8"/>
        <v>16057.109492164649</v>
      </c>
      <c r="H216" s="196"/>
      <c r="I216" s="196"/>
    </row>
    <row r="217" spans="1:9" s="145" customFormat="1" ht="18.75">
      <c r="A217" s="157" t="s">
        <v>211</v>
      </c>
      <c r="B217" s="146" t="s">
        <v>210</v>
      </c>
      <c r="C217" s="184"/>
      <c r="D217" s="219" t="s">
        <v>199</v>
      </c>
      <c r="E217" s="209">
        <v>250</v>
      </c>
      <c r="F217" s="196">
        <f>SUM(F218,F219,F221)</f>
        <v>501.54837131489882</v>
      </c>
      <c r="G217" s="196">
        <f t="shared" si="8"/>
        <v>125387.09282872471</v>
      </c>
      <c r="H217" s="196"/>
      <c r="I217" s="196"/>
    </row>
    <row r="218" spans="1:9" ht="18.75">
      <c r="A218" s="156"/>
      <c r="B218" s="164" t="s">
        <v>36</v>
      </c>
      <c r="C218" s="191" t="s">
        <v>36</v>
      </c>
      <c r="D218" s="223" t="s">
        <v>199</v>
      </c>
      <c r="E218" s="213">
        <v>250</v>
      </c>
      <c r="F218" s="165">
        <v>350.96133217418929</v>
      </c>
      <c r="G218" s="166">
        <f t="shared" si="8"/>
        <v>87740.333043547318</v>
      </c>
      <c r="H218" s="196"/>
      <c r="I218" s="196"/>
    </row>
    <row r="219" spans="1:9" ht="18.75">
      <c r="A219" s="156"/>
      <c r="B219" s="164" t="s">
        <v>39</v>
      </c>
      <c r="C219" s="191" t="s">
        <v>39</v>
      </c>
      <c r="D219" s="223" t="s">
        <v>199</v>
      </c>
      <c r="E219" s="213">
        <v>250</v>
      </c>
      <c r="F219" s="165">
        <f>F220</f>
        <v>11.976555460444212</v>
      </c>
      <c r="G219" s="166">
        <f t="shared" si="8"/>
        <v>2994.1388651110528</v>
      </c>
      <c r="H219" s="196"/>
      <c r="I219" s="196"/>
    </row>
    <row r="220" spans="1:9" ht="18.75">
      <c r="A220" s="156"/>
      <c r="B220" s="135" t="s">
        <v>136</v>
      </c>
      <c r="C220" s="186" t="s">
        <v>16</v>
      </c>
      <c r="D220" s="179" t="s">
        <v>199</v>
      </c>
      <c r="E220" s="178">
        <v>250</v>
      </c>
      <c r="F220" s="137">
        <v>11.976555460444212</v>
      </c>
      <c r="G220" s="218">
        <f t="shared" si="8"/>
        <v>2994.1388651110528</v>
      </c>
      <c r="H220" s="196"/>
      <c r="I220" s="196"/>
    </row>
    <row r="221" spans="1:9" ht="18.75">
      <c r="A221" s="156"/>
      <c r="B221" s="164" t="s">
        <v>42</v>
      </c>
      <c r="C221" s="191" t="s">
        <v>42</v>
      </c>
      <c r="D221" s="223" t="s">
        <v>199</v>
      </c>
      <c r="E221" s="213">
        <v>250</v>
      </c>
      <c r="F221" s="165">
        <f>SUM(F222:F223)</f>
        <v>138.6104836802653</v>
      </c>
      <c r="G221" s="166">
        <f t="shared" si="8"/>
        <v>34652.620920066329</v>
      </c>
      <c r="H221" s="196"/>
      <c r="I221" s="196"/>
    </row>
    <row r="222" spans="1:9" ht="18.75">
      <c r="A222" s="156"/>
      <c r="B222" s="126" t="s">
        <v>204</v>
      </c>
      <c r="C222" s="186" t="s">
        <v>309</v>
      </c>
      <c r="D222" s="179" t="s">
        <v>199</v>
      </c>
      <c r="E222" s="178">
        <v>250</v>
      </c>
      <c r="F222" s="137">
        <v>74.382045711606693</v>
      </c>
      <c r="G222" s="218">
        <f t="shared" si="8"/>
        <v>18595.511427901674</v>
      </c>
      <c r="H222" s="196"/>
      <c r="I222" s="196"/>
    </row>
    <row r="223" spans="1:9" ht="18.75">
      <c r="A223" s="156"/>
      <c r="B223" s="126" t="s">
        <v>205</v>
      </c>
      <c r="C223" s="186" t="s">
        <v>299</v>
      </c>
      <c r="D223" s="179" t="s">
        <v>199</v>
      </c>
      <c r="E223" s="178">
        <v>250</v>
      </c>
      <c r="F223" s="137">
        <v>64.228437968658596</v>
      </c>
      <c r="G223" s="218">
        <f t="shared" si="8"/>
        <v>16057.109492164649</v>
      </c>
      <c r="H223" s="196"/>
      <c r="I223" s="196"/>
    </row>
    <row r="224" spans="1:9" s="145" customFormat="1" ht="18.75">
      <c r="A224" s="157" t="s">
        <v>213</v>
      </c>
      <c r="B224" s="146" t="s">
        <v>212</v>
      </c>
      <c r="C224" s="184"/>
      <c r="D224" s="219" t="s">
        <v>199</v>
      </c>
      <c r="E224" s="209">
        <v>250</v>
      </c>
      <c r="F224" s="224">
        <f>SUM(F225,F226,F228)</f>
        <v>537.84216007836153</v>
      </c>
      <c r="G224" s="196">
        <f t="shared" si="8"/>
        <v>134460.54001959038</v>
      </c>
      <c r="H224" s="196"/>
      <c r="I224" s="196"/>
    </row>
    <row r="225" spans="1:9" ht="18.75">
      <c r="A225" s="156"/>
      <c r="B225" s="164" t="s">
        <v>36</v>
      </c>
      <c r="C225" s="191" t="s">
        <v>36</v>
      </c>
      <c r="D225" s="223" t="s">
        <v>199</v>
      </c>
      <c r="E225" s="213">
        <v>250</v>
      </c>
      <c r="F225" s="165">
        <v>386.05746539160754</v>
      </c>
      <c r="G225" s="166">
        <f t="shared" si="8"/>
        <v>96514.366347901887</v>
      </c>
      <c r="H225" s="196"/>
      <c r="I225" s="196"/>
    </row>
    <row r="226" spans="1:9" ht="18.75">
      <c r="A226" s="156"/>
      <c r="B226" s="164" t="s">
        <v>39</v>
      </c>
      <c r="C226" s="191" t="s">
        <v>39</v>
      </c>
      <c r="D226" s="223" t="s">
        <v>199</v>
      </c>
      <c r="E226" s="213">
        <v>250</v>
      </c>
      <c r="F226" s="165">
        <f>F227</f>
        <v>13.17421100648861</v>
      </c>
      <c r="G226" s="166">
        <f t="shared" si="8"/>
        <v>3293.5527516221528</v>
      </c>
      <c r="H226" s="196"/>
      <c r="I226" s="196"/>
    </row>
    <row r="227" spans="1:9" ht="18.75">
      <c r="A227" s="156"/>
      <c r="B227" s="135" t="s">
        <v>136</v>
      </c>
      <c r="C227" s="186" t="s">
        <v>16</v>
      </c>
      <c r="D227" s="179" t="s">
        <v>199</v>
      </c>
      <c r="E227" s="178">
        <v>250</v>
      </c>
      <c r="F227" s="137">
        <v>13.17421100648861</v>
      </c>
      <c r="G227" s="218">
        <f t="shared" si="8"/>
        <v>3293.5527516221528</v>
      </c>
      <c r="H227" s="196"/>
      <c r="I227" s="196"/>
    </row>
    <row r="228" spans="1:9" ht="18.75">
      <c r="A228" s="156"/>
      <c r="B228" s="164" t="s">
        <v>42</v>
      </c>
      <c r="C228" s="191" t="s">
        <v>42</v>
      </c>
      <c r="D228" s="223" t="s">
        <v>199</v>
      </c>
      <c r="E228" s="213">
        <v>250</v>
      </c>
      <c r="F228" s="165">
        <f>SUM(F229:F230)</f>
        <v>138.6104836802653</v>
      </c>
      <c r="G228" s="166">
        <f t="shared" si="8"/>
        <v>34652.620920066329</v>
      </c>
      <c r="H228" s="196"/>
      <c r="I228" s="196"/>
    </row>
    <row r="229" spans="1:9" ht="18.75">
      <c r="A229" s="156"/>
      <c r="B229" s="126" t="s">
        <v>204</v>
      </c>
      <c r="C229" s="186" t="s">
        <v>309</v>
      </c>
      <c r="D229" s="179" t="s">
        <v>199</v>
      </c>
      <c r="E229" s="178">
        <v>250</v>
      </c>
      <c r="F229" s="137">
        <v>74.382045711606693</v>
      </c>
      <c r="G229" s="218">
        <f t="shared" si="8"/>
        <v>18595.511427901674</v>
      </c>
      <c r="H229" s="196"/>
      <c r="I229" s="196"/>
    </row>
    <row r="230" spans="1:9" ht="18.75">
      <c r="A230" s="156"/>
      <c r="B230" s="126" t="s">
        <v>205</v>
      </c>
      <c r="C230" s="186" t="s">
        <v>299</v>
      </c>
      <c r="D230" s="179" t="s">
        <v>199</v>
      </c>
      <c r="E230" s="178">
        <v>250</v>
      </c>
      <c r="F230" s="137">
        <v>64.228437968658596</v>
      </c>
      <c r="G230" s="218">
        <f t="shared" si="8"/>
        <v>16057.109492164649</v>
      </c>
      <c r="H230" s="196"/>
      <c r="I230" s="196"/>
    </row>
    <row r="231" spans="1:9" s="145" customFormat="1" ht="18.75">
      <c r="A231" s="161" t="s">
        <v>215</v>
      </c>
      <c r="B231" s="146" t="s">
        <v>214</v>
      </c>
      <c r="C231" s="184"/>
      <c r="D231" s="219" t="s">
        <v>199</v>
      </c>
      <c r="E231" s="209">
        <v>250</v>
      </c>
      <c r="F231" s="196">
        <f>(F232+F233+F235)</f>
        <v>577.76532771817131</v>
      </c>
      <c r="G231" s="196">
        <f t="shared" si="8"/>
        <v>144441.33192954282</v>
      </c>
      <c r="H231" s="196"/>
      <c r="I231" s="196"/>
    </row>
    <row r="232" spans="1:9" ht="18.75">
      <c r="A232" s="156"/>
      <c r="B232" s="164" t="s">
        <v>36</v>
      </c>
      <c r="C232" s="191" t="s">
        <v>36</v>
      </c>
      <c r="D232" s="223" t="s">
        <v>199</v>
      </c>
      <c r="E232" s="213">
        <v>250</v>
      </c>
      <c r="F232" s="165">
        <v>424.66321193076851</v>
      </c>
      <c r="G232" s="166">
        <f t="shared" si="8"/>
        <v>106165.80298269213</v>
      </c>
      <c r="H232" s="196"/>
      <c r="I232" s="196"/>
    </row>
    <row r="233" spans="1:9" ht="18.75">
      <c r="A233" s="156"/>
      <c r="B233" s="164" t="s">
        <v>39</v>
      </c>
      <c r="C233" s="191" t="s">
        <v>39</v>
      </c>
      <c r="D233" s="223" t="s">
        <v>199</v>
      </c>
      <c r="E233" s="213">
        <v>250</v>
      </c>
      <c r="F233" s="165">
        <f>F234</f>
        <v>14.491632107137479</v>
      </c>
      <c r="G233" s="166">
        <f t="shared" si="8"/>
        <v>3622.9080267843697</v>
      </c>
      <c r="H233" s="196"/>
      <c r="I233" s="196"/>
    </row>
    <row r="234" spans="1:9" ht="18.75">
      <c r="A234" s="156"/>
      <c r="B234" s="135" t="s">
        <v>136</v>
      </c>
      <c r="C234" s="186" t="s">
        <v>16</v>
      </c>
      <c r="D234" s="179" t="s">
        <v>199</v>
      </c>
      <c r="E234" s="178">
        <v>250</v>
      </c>
      <c r="F234" s="137">
        <v>14.491632107137479</v>
      </c>
      <c r="G234" s="218">
        <f t="shared" si="8"/>
        <v>3622.9080267843697</v>
      </c>
      <c r="H234" s="196"/>
      <c r="I234" s="196"/>
    </row>
    <row r="235" spans="1:9" ht="18.75">
      <c r="A235" s="156"/>
      <c r="B235" s="164" t="s">
        <v>42</v>
      </c>
      <c r="C235" s="191" t="s">
        <v>42</v>
      </c>
      <c r="D235" s="223" t="s">
        <v>199</v>
      </c>
      <c r="E235" s="213">
        <v>250</v>
      </c>
      <c r="F235" s="165">
        <f>SUM(F236:F237)</f>
        <v>138.6104836802653</v>
      </c>
      <c r="G235" s="166">
        <f t="shared" si="8"/>
        <v>34652.620920066329</v>
      </c>
      <c r="H235" s="196"/>
      <c r="I235" s="196"/>
    </row>
    <row r="236" spans="1:9" ht="18.75">
      <c r="A236" s="156"/>
      <c r="B236" s="126" t="s">
        <v>204</v>
      </c>
      <c r="C236" s="186" t="s">
        <v>309</v>
      </c>
      <c r="D236" s="179" t="s">
        <v>199</v>
      </c>
      <c r="E236" s="178">
        <v>250</v>
      </c>
      <c r="F236" s="137">
        <v>74.382045711606693</v>
      </c>
      <c r="G236" s="218">
        <f t="shared" si="8"/>
        <v>18595.511427901674</v>
      </c>
      <c r="H236" s="196"/>
      <c r="I236" s="196"/>
    </row>
    <row r="237" spans="1:9" ht="18.75">
      <c r="A237" s="156"/>
      <c r="B237" s="126" t="s">
        <v>205</v>
      </c>
      <c r="C237" s="186" t="s">
        <v>299</v>
      </c>
      <c r="D237" s="179" t="s">
        <v>199</v>
      </c>
      <c r="E237" s="178">
        <v>250</v>
      </c>
      <c r="F237" s="137">
        <v>64.228437968658596</v>
      </c>
      <c r="G237" s="218">
        <f t="shared" si="8"/>
        <v>16057.109492164649</v>
      </c>
      <c r="H237" s="196"/>
      <c r="I237" s="196"/>
    </row>
    <row r="238" spans="1:9" s="145" customFormat="1" ht="37.5">
      <c r="A238" s="161" t="s">
        <v>217</v>
      </c>
      <c r="B238" s="146" t="s">
        <v>216</v>
      </c>
      <c r="C238" s="184"/>
      <c r="D238" s="219" t="s">
        <v>199</v>
      </c>
      <c r="E238" s="209">
        <v>500</v>
      </c>
      <c r="F238" s="196">
        <f>SUM(F239,F240,F242)</f>
        <v>136.12947889763296</v>
      </c>
      <c r="G238" s="196">
        <f t="shared" si="8"/>
        <v>68064.739448816486</v>
      </c>
      <c r="H238" s="196"/>
      <c r="I238" s="196"/>
    </row>
    <row r="239" spans="1:9" ht="18.75">
      <c r="A239" s="156"/>
      <c r="B239" s="164" t="s">
        <v>36</v>
      </c>
      <c r="C239" s="191" t="s">
        <v>36</v>
      </c>
      <c r="D239" s="223" t="s">
        <v>199</v>
      </c>
      <c r="E239" s="213">
        <v>500</v>
      </c>
      <c r="F239" s="165">
        <v>26.000774475295628</v>
      </c>
      <c r="G239" s="166">
        <f t="shared" si="8"/>
        <v>13000.387237647814</v>
      </c>
      <c r="H239" s="196"/>
      <c r="I239" s="196"/>
    </row>
    <row r="240" spans="1:9" ht="18.75">
      <c r="A240" s="156"/>
      <c r="B240" s="164" t="s">
        <v>39</v>
      </c>
      <c r="C240" s="191" t="s">
        <v>39</v>
      </c>
      <c r="D240" s="223" t="s">
        <v>199</v>
      </c>
      <c r="E240" s="213">
        <v>500</v>
      </c>
      <c r="F240" s="165">
        <f>(F241)</f>
        <v>1.267537755670662</v>
      </c>
      <c r="G240" s="166">
        <f t="shared" si="8"/>
        <v>633.76887783533095</v>
      </c>
      <c r="H240" s="196"/>
      <c r="I240" s="196"/>
    </row>
    <row r="241" spans="1:9" ht="18.75">
      <c r="A241" s="156"/>
      <c r="B241" s="135" t="s">
        <v>136</v>
      </c>
      <c r="C241" s="186" t="s">
        <v>16</v>
      </c>
      <c r="D241" s="179" t="s">
        <v>199</v>
      </c>
      <c r="E241" s="178">
        <v>500</v>
      </c>
      <c r="F241" s="137">
        <v>1.267537755670662</v>
      </c>
      <c r="G241" s="218">
        <f t="shared" si="8"/>
        <v>633.76887783533095</v>
      </c>
      <c r="H241" s="196"/>
      <c r="I241" s="196"/>
    </row>
    <row r="242" spans="1:9" ht="18.75">
      <c r="A242" s="156"/>
      <c r="B242" s="164" t="s">
        <v>42</v>
      </c>
      <c r="C242" s="191" t="s">
        <v>42</v>
      </c>
      <c r="D242" s="223" t="s">
        <v>199</v>
      </c>
      <c r="E242" s="213">
        <v>500</v>
      </c>
      <c r="F242" s="165">
        <f>(F243)</f>
        <v>108.86116666666666</v>
      </c>
      <c r="G242" s="166">
        <f t="shared" si="8"/>
        <v>54430.583333333328</v>
      </c>
      <c r="H242" s="196"/>
      <c r="I242" s="196"/>
    </row>
    <row r="243" spans="1:9" ht="18.75">
      <c r="A243" s="156"/>
      <c r="B243" s="136" t="s">
        <v>219</v>
      </c>
      <c r="C243" s="186" t="s">
        <v>315</v>
      </c>
      <c r="D243" s="179" t="s">
        <v>199</v>
      </c>
      <c r="E243" s="178">
        <v>500</v>
      </c>
      <c r="F243" s="137">
        <v>108.86116666666666</v>
      </c>
      <c r="G243" s="218">
        <f t="shared" si="8"/>
        <v>54430.583333333328</v>
      </c>
      <c r="H243" s="196"/>
      <c r="I243" s="196"/>
    </row>
    <row r="244" spans="1:9" s="145" customFormat="1" ht="18.75">
      <c r="A244" s="161" t="s">
        <v>222</v>
      </c>
      <c r="B244" s="146" t="s">
        <v>221</v>
      </c>
      <c r="C244" s="184"/>
      <c r="D244" s="219" t="s">
        <v>199</v>
      </c>
      <c r="E244" s="209">
        <v>500</v>
      </c>
      <c r="F244" s="196">
        <f>SUM(F245,F246,F248)</f>
        <v>127.38497889763295</v>
      </c>
      <c r="G244" s="196">
        <f t="shared" si="8"/>
        <v>63692.489448816472</v>
      </c>
      <c r="H244" s="196"/>
      <c r="I244" s="196"/>
    </row>
    <row r="245" spans="1:9" ht="18.75">
      <c r="A245" s="156"/>
      <c r="B245" s="164" t="s">
        <v>36</v>
      </c>
      <c r="C245" s="191" t="s">
        <v>36</v>
      </c>
      <c r="D245" s="223" t="s">
        <v>199</v>
      </c>
      <c r="E245" s="213">
        <v>500</v>
      </c>
      <c r="F245" s="165">
        <v>26.000774475295628</v>
      </c>
      <c r="G245" s="166">
        <f t="shared" si="8"/>
        <v>13000.387237647814</v>
      </c>
      <c r="H245" s="196"/>
      <c r="I245" s="196"/>
    </row>
    <row r="246" spans="1:9" ht="18.75">
      <c r="A246" s="156"/>
      <c r="B246" s="164" t="s">
        <v>39</v>
      </c>
      <c r="C246" s="191" t="s">
        <v>39</v>
      </c>
      <c r="D246" s="223" t="s">
        <v>199</v>
      </c>
      <c r="E246" s="213">
        <v>500</v>
      </c>
      <c r="F246" s="165">
        <f>(F247)</f>
        <v>1.267537755670662</v>
      </c>
      <c r="G246" s="166">
        <f t="shared" si="8"/>
        <v>633.76887783533095</v>
      </c>
      <c r="H246" s="196"/>
      <c r="I246" s="196"/>
    </row>
    <row r="247" spans="1:9" ht="18.75">
      <c r="A247" s="156"/>
      <c r="B247" s="135" t="s">
        <v>136</v>
      </c>
      <c r="C247" s="186" t="s">
        <v>16</v>
      </c>
      <c r="D247" s="179" t="s">
        <v>199</v>
      </c>
      <c r="E247" s="178">
        <v>500</v>
      </c>
      <c r="F247" s="137">
        <v>1.267537755670662</v>
      </c>
      <c r="G247" s="218">
        <f t="shared" si="8"/>
        <v>633.76887783533095</v>
      </c>
      <c r="H247" s="196"/>
      <c r="I247" s="196"/>
    </row>
    <row r="248" spans="1:9" ht="18.75">
      <c r="A248" s="156"/>
      <c r="B248" s="164" t="s">
        <v>42</v>
      </c>
      <c r="C248" s="191" t="s">
        <v>42</v>
      </c>
      <c r="D248" s="223" t="s">
        <v>199</v>
      </c>
      <c r="E248" s="213">
        <v>500</v>
      </c>
      <c r="F248" s="165">
        <f>(F249)</f>
        <v>100.11666666666666</v>
      </c>
      <c r="G248" s="166">
        <f t="shared" si="8"/>
        <v>50058.333333333328</v>
      </c>
      <c r="H248" s="196"/>
      <c r="I248" s="196"/>
    </row>
    <row r="249" spans="1:9" ht="18.75">
      <c r="A249" s="156"/>
      <c r="B249" s="136" t="s">
        <v>219</v>
      </c>
      <c r="C249" s="186" t="s">
        <v>315</v>
      </c>
      <c r="D249" s="179" t="s">
        <v>199</v>
      </c>
      <c r="E249" s="178">
        <v>500</v>
      </c>
      <c r="F249" s="137">
        <v>100.11666666666666</v>
      </c>
      <c r="G249" s="218">
        <f t="shared" si="8"/>
        <v>50058.333333333328</v>
      </c>
      <c r="H249" s="196"/>
      <c r="I249" s="196"/>
    </row>
    <row r="250" spans="1:9" s="145" customFormat="1" ht="18.75">
      <c r="A250" s="161" t="s">
        <v>224</v>
      </c>
      <c r="B250" s="146" t="s">
        <v>223</v>
      </c>
      <c r="C250" s="184"/>
      <c r="D250" s="219" t="s">
        <v>199</v>
      </c>
      <c r="E250" s="209">
        <v>250</v>
      </c>
      <c r="F250" s="196">
        <f>SUM(F251,F252,F254)</f>
        <v>28.56631223096629</v>
      </c>
      <c r="G250" s="196">
        <f t="shared" si="8"/>
        <v>7141.5780577415726</v>
      </c>
      <c r="H250" s="196"/>
      <c r="I250" s="196"/>
    </row>
    <row r="251" spans="1:9" ht="18.75">
      <c r="A251" s="156"/>
      <c r="B251" s="164" t="s">
        <v>36</v>
      </c>
      <c r="C251" s="191" t="s">
        <v>36</v>
      </c>
      <c r="D251" s="223" t="s">
        <v>199</v>
      </c>
      <c r="E251" s="213">
        <v>250</v>
      </c>
      <c r="F251" s="165">
        <v>26.000774475295628</v>
      </c>
      <c r="G251" s="166">
        <f t="shared" si="8"/>
        <v>6500.1936188239069</v>
      </c>
      <c r="H251" s="196"/>
      <c r="I251" s="196"/>
    </row>
    <row r="252" spans="1:9" ht="18.75">
      <c r="A252" s="156"/>
      <c r="B252" s="164" t="s">
        <v>39</v>
      </c>
      <c r="C252" s="191" t="s">
        <v>39</v>
      </c>
      <c r="D252" s="223" t="s">
        <v>199</v>
      </c>
      <c r="E252" s="213">
        <v>250</v>
      </c>
      <c r="F252" s="165">
        <f>(F253)</f>
        <v>1.267537755670662</v>
      </c>
      <c r="G252" s="166">
        <f t="shared" ref="G252:G315" si="9">(F252*E252)</f>
        <v>316.88443891766548</v>
      </c>
      <c r="H252" s="196"/>
      <c r="I252" s="196"/>
    </row>
    <row r="253" spans="1:9" ht="18.75">
      <c r="A253" s="156"/>
      <c r="B253" s="135" t="s">
        <v>136</v>
      </c>
      <c r="C253" s="186" t="s">
        <v>16</v>
      </c>
      <c r="D253" s="179" t="s">
        <v>199</v>
      </c>
      <c r="E253" s="178">
        <v>250</v>
      </c>
      <c r="F253" s="137">
        <v>1.267537755670662</v>
      </c>
      <c r="G253" s="218">
        <f t="shared" si="9"/>
        <v>316.88443891766548</v>
      </c>
      <c r="H253" s="196"/>
      <c r="I253" s="196"/>
    </row>
    <row r="254" spans="1:9" ht="18.75">
      <c r="A254" s="156"/>
      <c r="B254" s="164" t="s">
        <v>42</v>
      </c>
      <c r="C254" s="191" t="s">
        <v>42</v>
      </c>
      <c r="D254" s="223" t="s">
        <v>199</v>
      </c>
      <c r="E254" s="213">
        <v>250</v>
      </c>
      <c r="F254" s="165">
        <f>(F255)</f>
        <v>1.298</v>
      </c>
      <c r="G254" s="166">
        <f t="shared" si="9"/>
        <v>324.5</v>
      </c>
      <c r="H254" s="196"/>
      <c r="I254" s="196"/>
    </row>
    <row r="255" spans="1:9" ht="18.75">
      <c r="A255" s="156"/>
      <c r="B255" s="126" t="s">
        <v>205</v>
      </c>
      <c r="C255" s="186" t="s">
        <v>299</v>
      </c>
      <c r="D255" s="179" t="s">
        <v>199</v>
      </c>
      <c r="E255" s="178">
        <v>250</v>
      </c>
      <c r="F255" s="137">
        <v>1.298</v>
      </c>
      <c r="G255" s="218">
        <f t="shared" si="9"/>
        <v>324.5</v>
      </c>
      <c r="H255" s="196"/>
      <c r="I255" s="196"/>
    </row>
    <row r="256" spans="1:9" s="145" customFormat="1" ht="18.75">
      <c r="A256" s="161" t="s">
        <v>226</v>
      </c>
      <c r="B256" s="146" t="s">
        <v>225</v>
      </c>
      <c r="C256" s="184"/>
      <c r="D256" s="219" t="s">
        <v>227</v>
      </c>
      <c r="E256" s="209">
        <f>250/5</f>
        <v>50</v>
      </c>
      <c r="F256" s="196">
        <f>SUM(F257,F258,F259)</f>
        <v>450</v>
      </c>
      <c r="G256" s="196">
        <f t="shared" si="9"/>
        <v>22500</v>
      </c>
      <c r="H256" s="196"/>
      <c r="I256" s="196"/>
    </row>
    <row r="257" spans="1:9" ht="18.75">
      <c r="A257" s="156"/>
      <c r="B257" s="164" t="s">
        <v>36</v>
      </c>
      <c r="C257" s="191" t="s">
        <v>36</v>
      </c>
      <c r="D257" s="223" t="s">
        <v>227</v>
      </c>
      <c r="E257" s="213">
        <f t="shared" ref="E257:E259" si="10">250/5</f>
        <v>50</v>
      </c>
      <c r="F257" s="165">
        <v>450</v>
      </c>
      <c r="G257" s="166">
        <f t="shared" si="9"/>
        <v>22500</v>
      </c>
      <c r="H257" s="196"/>
      <c r="I257" s="196"/>
    </row>
    <row r="258" spans="1:9" ht="18.75">
      <c r="A258" s="156"/>
      <c r="B258" s="164" t="s">
        <v>39</v>
      </c>
      <c r="C258" s="191" t="s">
        <v>39</v>
      </c>
      <c r="D258" s="223" t="s">
        <v>227</v>
      </c>
      <c r="E258" s="213">
        <f t="shared" si="10"/>
        <v>50</v>
      </c>
      <c r="F258" s="166">
        <v>0</v>
      </c>
      <c r="G258" s="166">
        <f t="shared" si="9"/>
        <v>0</v>
      </c>
      <c r="H258" s="196"/>
      <c r="I258" s="196"/>
    </row>
    <row r="259" spans="1:9" ht="18.75">
      <c r="A259" s="156"/>
      <c r="B259" s="164" t="s">
        <v>42</v>
      </c>
      <c r="C259" s="191" t="s">
        <v>42</v>
      </c>
      <c r="D259" s="223" t="s">
        <v>227</v>
      </c>
      <c r="E259" s="213">
        <f t="shared" si="10"/>
        <v>50</v>
      </c>
      <c r="F259" s="166">
        <v>0</v>
      </c>
      <c r="G259" s="166">
        <f t="shared" si="9"/>
        <v>0</v>
      </c>
      <c r="H259" s="196"/>
      <c r="I259" s="196"/>
    </row>
    <row r="260" spans="1:9" s="145" customFormat="1" ht="37.5">
      <c r="A260" s="161" t="s">
        <v>230</v>
      </c>
      <c r="B260" s="146" t="s">
        <v>229</v>
      </c>
      <c r="C260" s="184"/>
      <c r="D260" s="219" t="s">
        <v>199</v>
      </c>
      <c r="E260" s="209">
        <v>1000</v>
      </c>
      <c r="F260" s="196">
        <f>SUM(F261,F262,F263)</f>
        <v>26.403093289562662</v>
      </c>
      <c r="G260" s="196">
        <f t="shared" si="9"/>
        <v>26403.093289562661</v>
      </c>
      <c r="H260" s="196"/>
      <c r="I260" s="196"/>
    </row>
    <row r="261" spans="1:9" ht="18.75">
      <c r="A261" s="156"/>
      <c r="B261" s="164" t="s">
        <v>36</v>
      </c>
      <c r="C261" s="191" t="s">
        <v>36</v>
      </c>
      <c r="D261" s="223" t="s">
        <v>199</v>
      </c>
      <c r="E261" s="213">
        <v>1000</v>
      </c>
      <c r="F261" s="165">
        <v>25.618400452248263</v>
      </c>
      <c r="G261" s="166">
        <f t="shared" si="9"/>
        <v>25618.400452248265</v>
      </c>
      <c r="H261" s="196"/>
      <c r="I261" s="196"/>
    </row>
    <row r="262" spans="1:9" ht="18.75">
      <c r="A262" s="156"/>
      <c r="B262" s="164" t="s">
        <v>39</v>
      </c>
      <c r="C262" s="191" t="s">
        <v>39</v>
      </c>
      <c r="D262" s="223" t="s">
        <v>199</v>
      </c>
      <c r="E262" s="213">
        <v>1000</v>
      </c>
      <c r="F262" s="165">
        <v>0</v>
      </c>
      <c r="G262" s="166">
        <f t="shared" si="9"/>
        <v>0</v>
      </c>
      <c r="H262" s="196"/>
      <c r="I262" s="196"/>
    </row>
    <row r="263" spans="1:9" ht="18.75">
      <c r="A263" s="156"/>
      <c r="B263" s="164" t="s">
        <v>42</v>
      </c>
      <c r="C263" s="191" t="s">
        <v>42</v>
      </c>
      <c r="D263" s="223" t="s">
        <v>199</v>
      </c>
      <c r="E263" s="213">
        <v>1000</v>
      </c>
      <c r="F263" s="166">
        <f>(F264)</f>
        <v>0.78469283731439798</v>
      </c>
      <c r="G263" s="166">
        <f t="shared" si="9"/>
        <v>784.69283731439793</v>
      </c>
      <c r="H263" s="196"/>
      <c r="I263" s="196"/>
    </row>
    <row r="264" spans="1:9" ht="18.75">
      <c r="A264" s="156"/>
      <c r="B264" s="126" t="s">
        <v>205</v>
      </c>
      <c r="C264" s="186" t="s">
        <v>299</v>
      </c>
      <c r="D264" s="179" t="s">
        <v>199</v>
      </c>
      <c r="E264" s="178">
        <v>1000</v>
      </c>
      <c r="F264" s="137">
        <v>0.78469283731439798</v>
      </c>
      <c r="G264" s="218">
        <f t="shared" si="9"/>
        <v>784.69283731439793</v>
      </c>
      <c r="H264" s="196"/>
      <c r="I264" s="196"/>
    </row>
    <row r="265" spans="1:9" s="145" customFormat="1" ht="37.5">
      <c r="A265" s="161" t="s">
        <v>232</v>
      </c>
      <c r="B265" s="146" t="s">
        <v>231</v>
      </c>
      <c r="C265" s="184"/>
      <c r="D265" s="219" t="s">
        <v>199</v>
      </c>
      <c r="E265" s="209">
        <v>50</v>
      </c>
      <c r="F265" s="196">
        <f>SUM(F266,F267,F269)</f>
        <v>1154.1537566968439</v>
      </c>
      <c r="G265" s="196">
        <f t="shared" si="9"/>
        <v>57707.687834842196</v>
      </c>
      <c r="H265" s="196"/>
      <c r="I265" s="196"/>
    </row>
    <row r="266" spans="1:9" ht="18.75">
      <c r="A266" s="156"/>
      <c r="B266" s="164" t="s">
        <v>36</v>
      </c>
      <c r="C266" s="191" t="s">
        <v>36</v>
      </c>
      <c r="D266" s="223" t="s">
        <v>199</v>
      </c>
      <c r="E266" s="213">
        <v>50</v>
      </c>
      <c r="F266" s="165">
        <v>982.904799302745</v>
      </c>
      <c r="G266" s="166">
        <f t="shared" si="9"/>
        <v>49145.239965137247</v>
      </c>
      <c r="H266" s="196"/>
      <c r="I266" s="196"/>
    </row>
    <row r="267" spans="1:9" ht="18.75">
      <c r="A267" s="156"/>
      <c r="B267" s="164" t="s">
        <v>39</v>
      </c>
      <c r="C267" s="191" t="s">
        <v>39</v>
      </c>
      <c r="D267" s="223" t="s">
        <v>199</v>
      </c>
      <c r="E267" s="213">
        <v>50</v>
      </c>
      <c r="F267" s="165">
        <f>F268</f>
        <v>33.541626276206181</v>
      </c>
      <c r="G267" s="166">
        <f t="shared" si="9"/>
        <v>1677.081313810309</v>
      </c>
      <c r="H267" s="196"/>
      <c r="I267" s="196"/>
    </row>
    <row r="268" spans="1:9" ht="18.75">
      <c r="A268" s="156"/>
      <c r="B268" s="135" t="s">
        <v>136</v>
      </c>
      <c r="C268" s="186" t="s">
        <v>16</v>
      </c>
      <c r="D268" s="179" t="s">
        <v>199</v>
      </c>
      <c r="E268" s="178">
        <v>50</v>
      </c>
      <c r="F268" s="137">
        <v>33.541626276206181</v>
      </c>
      <c r="G268" s="218">
        <f t="shared" si="9"/>
        <v>1677.081313810309</v>
      </c>
      <c r="H268" s="196"/>
      <c r="I268" s="196"/>
    </row>
    <row r="269" spans="1:9" ht="18.75">
      <c r="A269" s="156"/>
      <c r="B269" s="164" t="s">
        <v>42</v>
      </c>
      <c r="C269" s="191" t="s">
        <v>42</v>
      </c>
      <c r="D269" s="223" t="s">
        <v>199</v>
      </c>
      <c r="E269" s="213">
        <v>50</v>
      </c>
      <c r="F269" s="165">
        <f>(F270+F271)</f>
        <v>137.70733111789269</v>
      </c>
      <c r="G269" s="166">
        <f t="shared" si="9"/>
        <v>6885.366555894635</v>
      </c>
      <c r="H269" s="196"/>
      <c r="I269" s="196"/>
    </row>
    <row r="270" spans="1:9" ht="18.75">
      <c r="A270" s="156"/>
      <c r="B270" s="126" t="s">
        <v>204</v>
      </c>
      <c r="C270" s="186" t="s">
        <v>309</v>
      </c>
      <c r="D270" s="179" t="s">
        <v>199</v>
      </c>
      <c r="E270" s="178">
        <v>50</v>
      </c>
      <c r="F270" s="137">
        <v>57.421783657069497</v>
      </c>
      <c r="G270" s="218">
        <f t="shared" si="9"/>
        <v>2871.089182853475</v>
      </c>
      <c r="H270" s="196"/>
      <c r="I270" s="196"/>
    </row>
    <row r="271" spans="1:9" ht="18.75">
      <c r="A271" s="156"/>
      <c r="B271" s="126" t="s">
        <v>205</v>
      </c>
      <c r="C271" s="186" t="s">
        <v>299</v>
      </c>
      <c r="D271" s="179" t="s">
        <v>199</v>
      </c>
      <c r="E271" s="178">
        <v>50</v>
      </c>
      <c r="F271" s="137">
        <v>80.285547460823196</v>
      </c>
      <c r="G271" s="218">
        <f t="shared" si="9"/>
        <v>4014.27737304116</v>
      </c>
      <c r="H271" s="196"/>
      <c r="I271" s="196"/>
    </row>
    <row r="272" spans="1:9" s="145" customFormat="1" ht="56.25">
      <c r="A272" s="161" t="s">
        <v>234</v>
      </c>
      <c r="B272" s="146" t="s">
        <v>233</v>
      </c>
      <c r="C272" s="184"/>
      <c r="D272" s="219" t="s">
        <v>128</v>
      </c>
      <c r="E272" s="209">
        <v>1</v>
      </c>
      <c r="F272" s="196">
        <f>SUM(F273,F274,F278)</f>
        <v>30065.402220987671</v>
      </c>
      <c r="G272" s="196">
        <f t="shared" si="9"/>
        <v>30065.402220987671</v>
      </c>
      <c r="H272" s="196"/>
      <c r="I272" s="196"/>
    </row>
    <row r="273" spans="1:9" ht="18.75">
      <c r="A273" s="156"/>
      <c r="B273" s="164" t="s">
        <v>36</v>
      </c>
      <c r="C273" s="191" t="s">
        <v>36</v>
      </c>
      <c r="D273" s="223" t="s">
        <v>128</v>
      </c>
      <c r="E273" s="213">
        <v>1</v>
      </c>
      <c r="F273" s="165">
        <v>27697.948430084125</v>
      </c>
      <c r="G273" s="166">
        <f t="shared" si="9"/>
        <v>27697.948430084125</v>
      </c>
      <c r="H273" s="196"/>
      <c r="I273" s="196"/>
    </row>
    <row r="274" spans="1:9" ht="18.75">
      <c r="A274" s="156"/>
      <c r="B274" s="164" t="s">
        <v>39</v>
      </c>
      <c r="C274" s="191" t="s">
        <v>39</v>
      </c>
      <c r="D274" s="223" t="s">
        <v>128</v>
      </c>
      <c r="E274" s="213">
        <v>1</v>
      </c>
      <c r="F274" s="165">
        <f>SUM(F275:F277)</f>
        <v>2071.6172652533874</v>
      </c>
      <c r="G274" s="166">
        <f t="shared" si="9"/>
        <v>2071.6172652533874</v>
      </c>
      <c r="H274" s="196"/>
      <c r="I274" s="196"/>
    </row>
    <row r="275" spans="1:9" ht="18.75">
      <c r="A275" s="156"/>
      <c r="B275" s="135" t="s">
        <v>161</v>
      </c>
      <c r="C275" s="186" t="s">
        <v>308</v>
      </c>
      <c r="D275" s="179" t="s">
        <v>128</v>
      </c>
      <c r="E275" s="178">
        <v>1</v>
      </c>
      <c r="F275" s="137">
        <v>922.27097116418861</v>
      </c>
      <c r="G275" s="218">
        <f t="shared" si="9"/>
        <v>922.27097116418861</v>
      </c>
      <c r="H275" s="196"/>
      <c r="I275" s="196"/>
    </row>
    <row r="276" spans="1:9" ht="18.75">
      <c r="A276" s="156"/>
      <c r="B276" s="135" t="s">
        <v>136</v>
      </c>
      <c r="C276" s="186" t="s">
        <v>16</v>
      </c>
      <c r="D276" s="179" t="s">
        <v>128</v>
      </c>
      <c r="E276" s="178">
        <v>1</v>
      </c>
      <c r="F276" s="137">
        <v>675.1374929833006</v>
      </c>
      <c r="G276" s="218">
        <f t="shared" si="9"/>
        <v>675.1374929833006</v>
      </c>
      <c r="H276" s="196"/>
      <c r="I276" s="196"/>
    </row>
    <row r="277" spans="1:9" ht="18.75">
      <c r="A277" s="156"/>
      <c r="B277" s="135" t="s">
        <v>163</v>
      </c>
      <c r="C277" s="186" t="s">
        <v>295</v>
      </c>
      <c r="D277" s="179" t="s">
        <v>128</v>
      </c>
      <c r="E277" s="178">
        <v>1</v>
      </c>
      <c r="F277" s="137">
        <v>474.20880110589803</v>
      </c>
      <c r="G277" s="218">
        <f t="shared" si="9"/>
        <v>474.20880110589803</v>
      </c>
      <c r="H277" s="196"/>
      <c r="I277" s="196"/>
    </row>
    <row r="278" spans="1:9" ht="18.75">
      <c r="A278" s="156"/>
      <c r="B278" s="164" t="s">
        <v>42</v>
      </c>
      <c r="C278" s="191" t="s">
        <v>42</v>
      </c>
      <c r="D278" s="223" t="s">
        <v>128</v>
      </c>
      <c r="E278" s="213">
        <v>1</v>
      </c>
      <c r="F278" s="165">
        <f>SUM(F279:F281)</f>
        <v>295.83652565016035</v>
      </c>
      <c r="G278" s="166">
        <f t="shared" si="9"/>
        <v>295.83652565016035</v>
      </c>
      <c r="H278" s="196"/>
      <c r="I278" s="196"/>
    </row>
    <row r="279" spans="1:9" ht="18.75">
      <c r="A279" s="156"/>
      <c r="B279" s="126" t="s">
        <v>167</v>
      </c>
      <c r="C279" s="186" t="s">
        <v>16</v>
      </c>
      <c r="D279" s="179" t="s">
        <v>128</v>
      </c>
      <c r="E279" s="178">
        <v>1</v>
      </c>
      <c r="F279" s="137">
        <v>32.5</v>
      </c>
      <c r="G279" s="218">
        <f t="shared" si="9"/>
        <v>32.5</v>
      </c>
      <c r="H279" s="196"/>
      <c r="I279" s="196"/>
    </row>
    <row r="280" spans="1:9" ht="18.75">
      <c r="A280" s="156"/>
      <c r="B280" s="126" t="s">
        <v>172</v>
      </c>
      <c r="C280" s="186" t="s">
        <v>309</v>
      </c>
      <c r="D280" s="179" t="s">
        <v>128</v>
      </c>
      <c r="E280" s="178">
        <v>1</v>
      </c>
      <c r="F280" s="137">
        <v>153.37506452415499</v>
      </c>
      <c r="G280" s="218">
        <f t="shared" si="9"/>
        <v>153.37506452415499</v>
      </c>
      <c r="H280" s="196"/>
      <c r="I280" s="196"/>
    </row>
    <row r="281" spans="1:9" ht="18.75">
      <c r="A281" s="156"/>
      <c r="B281" s="126" t="s">
        <v>173</v>
      </c>
      <c r="C281" s="186" t="s">
        <v>310</v>
      </c>
      <c r="D281" s="179" t="s">
        <v>128</v>
      </c>
      <c r="E281" s="178">
        <v>1</v>
      </c>
      <c r="F281" s="137">
        <v>109.96146112600536</v>
      </c>
      <c r="G281" s="218">
        <f t="shared" si="9"/>
        <v>109.96146112600536</v>
      </c>
      <c r="H281" s="196"/>
      <c r="I281" s="196"/>
    </row>
    <row r="282" spans="1:9" s="145" customFormat="1" ht="56.25">
      <c r="A282" s="161" t="s">
        <v>236</v>
      </c>
      <c r="B282" s="146" t="s">
        <v>235</v>
      </c>
      <c r="C282" s="184"/>
      <c r="D282" s="219" t="s">
        <v>128</v>
      </c>
      <c r="E282" s="209">
        <v>1</v>
      </c>
      <c r="F282" s="196">
        <f>SUM(F283,F284,F288)</f>
        <v>29747.38722119488</v>
      </c>
      <c r="G282" s="196">
        <f t="shared" si="9"/>
        <v>29747.38722119488</v>
      </c>
      <c r="H282" s="196"/>
      <c r="I282" s="196"/>
    </row>
    <row r="283" spans="1:9" ht="18.75">
      <c r="A283" s="156"/>
      <c r="B283" s="164" t="s">
        <v>36</v>
      </c>
      <c r="C283" s="191" t="s">
        <v>36</v>
      </c>
      <c r="D283" s="223" t="s">
        <v>128</v>
      </c>
      <c r="E283" s="213">
        <v>1</v>
      </c>
      <c r="F283" s="165">
        <v>27387.500596241251</v>
      </c>
      <c r="G283" s="166">
        <f t="shared" si="9"/>
        <v>27387.500596241251</v>
      </c>
      <c r="H283" s="196"/>
      <c r="I283" s="196"/>
    </row>
    <row r="284" spans="1:9" ht="18.75">
      <c r="A284" s="156"/>
      <c r="B284" s="164" t="s">
        <v>39</v>
      </c>
      <c r="C284" s="191" t="s">
        <v>39</v>
      </c>
      <c r="D284" s="223" t="s">
        <v>128</v>
      </c>
      <c r="E284" s="213">
        <v>1</v>
      </c>
      <c r="F284" s="165">
        <f>SUM(F285:F287)</f>
        <v>2064.0500993034675</v>
      </c>
      <c r="G284" s="166">
        <f t="shared" si="9"/>
        <v>2064.0500993034675</v>
      </c>
      <c r="H284" s="196"/>
      <c r="I284" s="196"/>
    </row>
    <row r="285" spans="1:9" ht="18.75">
      <c r="A285" s="156"/>
      <c r="B285" s="135" t="s">
        <v>161</v>
      </c>
      <c r="C285" s="186" t="s">
        <v>308</v>
      </c>
      <c r="D285" s="179" t="s">
        <v>128</v>
      </c>
      <c r="E285" s="178">
        <v>1</v>
      </c>
      <c r="F285" s="137">
        <v>922.27097116418861</v>
      </c>
      <c r="G285" s="218">
        <f t="shared" si="9"/>
        <v>922.27097116418861</v>
      </c>
      <c r="H285" s="196"/>
      <c r="I285" s="196"/>
    </row>
    <row r="286" spans="1:9" ht="18.75">
      <c r="A286" s="156"/>
      <c r="B286" s="135" t="s">
        <v>136</v>
      </c>
      <c r="C286" s="186" t="s">
        <v>16</v>
      </c>
      <c r="D286" s="179" t="s">
        <v>128</v>
      </c>
      <c r="E286" s="178">
        <v>1</v>
      </c>
      <c r="F286" s="137">
        <v>667.57032703338064</v>
      </c>
      <c r="G286" s="218">
        <f t="shared" si="9"/>
        <v>667.57032703338064</v>
      </c>
      <c r="H286" s="196"/>
      <c r="I286" s="196"/>
    </row>
    <row r="287" spans="1:9" ht="18.75">
      <c r="A287" s="156"/>
      <c r="B287" s="135" t="s">
        <v>163</v>
      </c>
      <c r="C287" s="186" t="s">
        <v>295</v>
      </c>
      <c r="D287" s="179" t="s">
        <v>128</v>
      </c>
      <c r="E287" s="178">
        <v>1</v>
      </c>
      <c r="F287" s="137">
        <v>474.20880110589803</v>
      </c>
      <c r="G287" s="218">
        <f t="shared" si="9"/>
        <v>474.20880110589803</v>
      </c>
      <c r="H287" s="196"/>
      <c r="I287" s="196"/>
    </row>
    <row r="288" spans="1:9" ht="18.75">
      <c r="A288" s="156"/>
      <c r="B288" s="164" t="s">
        <v>42</v>
      </c>
      <c r="C288" s="191" t="s">
        <v>42</v>
      </c>
      <c r="D288" s="223" t="s">
        <v>128</v>
      </c>
      <c r="E288" s="213">
        <v>1</v>
      </c>
      <c r="F288" s="165">
        <f>SUM(F289:F291)</f>
        <v>295.83652565016035</v>
      </c>
      <c r="G288" s="166">
        <f t="shared" si="9"/>
        <v>295.83652565016035</v>
      </c>
      <c r="H288" s="196"/>
      <c r="I288" s="196"/>
    </row>
    <row r="289" spans="1:9" ht="18.75">
      <c r="A289" s="156"/>
      <c r="B289" s="126" t="s">
        <v>167</v>
      </c>
      <c r="C289" s="186" t="s">
        <v>16</v>
      </c>
      <c r="D289" s="179" t="s">
        <v>128</v>
      </c>
      <c r="E289" s="178">
        <v>1</v>
      </c>
      <c r="F289" s="137">
        <v>32.5</v>
      </c>
      <c r="G289" s="218">
        <f t="shared" si="9"/>
        <v>32.5</v>
      </c>
      <c r="H289" s="196"/>
      <c r="I289" s="196"/>
    </row>
    <row r="290" spans="1:9" ht="18.75">
      <c r="A290" s="156"/>
      <c r="B290" s="126" t="s">
        <v>172</v>
      </c>
      <c r="C290" s="186" t="s">
        <v>309</v>
      </c>
      <c r="D290" s="179" t="s">
        <v>128</v>
      </c>
      <c r="E290" s="178">
        <v>1</v>
      </c>
      <c r="F290" s="137">
        <v>153.37506452415499</v>
      </c>
      <c r="G290" s="218">
        <f t="shared" si="9"/>
        <v>153.37506452415499</v>
      </c>
      <c r="H290" s="196"/>
      <c r="I290" s="196"/>
    </row>
    <row r="291" spans="1:9" ht="18.75">
      <c r="A291" s="156"/>
      <c r="B291" s="126" t="s">
        <v>173</v>
      </c>
      <c r="C291" s="186" t="s">
        <v>310</v>
      </c>
      <c r="D291" s="179" t="s">
        <v>128</v>
      </c>
      <c r="E291" s="178">
        <v>1</v>
      </c>
      <c r="F291" s="137">
        <v>109.96146112600536</v>
      </c>
      <c r="G291" s="218">
        <f t="shared" si="9"/>
        <v>109.96146112600536</v>
      </c>
      <c r="H291" s="196"/>
      <c r="I291" s="196"/>
    </row>
    <row r="292" spans="1:9" s="145" customFormat="1" ht="56.25">
      <c r="A292" s="161" t="s">
        <v>238</v>
      </c>
      <c r="B292" s="146" t="s">
        <v>237</v>
      </c>
      <c r="C292" s="184"/>
      <c r="D292" s="219" t="s">
        <v>128</v>
      </c>
      <c r="E292" s="209">
        <v>15</v>
      </c>
      <c r="F292" s="196">
        <f>SUM(F293,F294,F298)</f>
        <v>15407.735737404997</v>
      </c>
      <c r="G292" s="196">
        <f t="shared" si="9"/>
        <v>231116.03606107496</v>
      </c>
      <c r="H292" s="196"/>
      <c r="I292" s="196"/>
    </row>
    <row r="293" spans="1:9" ht="18.75">
      <c r="A293" s="156"/>
      <c r="B293" s="164" t="s">
        <v>36</v>
      </c>
      <c r="C293" s="191" t="s">
        <v>36</v>
      </c>
      <c r="D293" s="223" t="s">
        <v>128</v>
      </c>
      <c r="E293" s="213">
        <v>15</v>
      </c>
      <c r="F293" s="165">
        <v>13389.061075763026</v>
      </c>
      <c r="G293" s="166">
        <f t="shared" si="9"/>
        <v>200835.91613644539</v>
      </c>
      <c r="H293" s="196"/>
      <c r="I293" s="196"/>
    </row>
    <row r="294" spans="1:9" ht="18.75">
      <c r="A294" s="156"/>
      <c r="B294" s="164" t="s">
        <v>39</v>
      </c>
      <c r="C294" s="191" t="s">
        <v>39</v>
      </c>
      <c r="D294" s="223" t="s">
        <v>128</v>
      </c>
      <c r="E294" s="213">
        <v>15</v>
      </c>
      <c r="F294" s="165">
        <f>SUM(F295:F297)</f>
        <v>1722.8381359918103</v>
      </c>
      <c r="G294" s="166">
        <f t="shared" si="9"/>
        <v>25842.572039877155</v>
      </c>
      <c r="H294" s="196"/>
      <c r="I294" s="196"/>
    </row>
    <row r="295" spans="1:9" ht="18.75">
      <c r="A295" s="156"/>
      <c r="B295" s="135" t="s">
        <v>161</v>
      </c>
      <c r="C295" s="186" t="s">
        <v>308</v>
      </c>
      <c r="D295" s="179" t="s">
        <v>128</v>
      </c>
      <c r="E295" s="178">
        <v>15</v>
      </c>
      <c r="F295" s="137">
        <v>922.27097116418861</v>
      </c>
      <c r="G295" s="218">
        <f t="shared" si="9"/>
        <v>13834.064567462829</v>
      </c>
      <c r="H295" s="196"/>
      <c r="I295" s="196"/>
    </row>
    <row r="296" spans="1:9" ht="18.75">
      <c r="A296" s="156"/>
      <c r="B296" s="135" t="s">
        <v>136</v>
      </c>
      <c r="C296" s="186" t="s">
        <v>16</v>
      </c>
      <c r="D296" s="179" t="s">
        <v>128</v>
      </c>
      <c r="E296" s="178">
        <v>15</v>
      </c>
      <c r="F296" s="137">
        <v>326.35836372172383</v>
      </c>
      <c r="G296" s="218">
        <f t="shared" si="9"/>
        <v>4895.3754558258579</v>
      </c>
      <c r="H296" s="196"/>
      <c r="I296" s="196"/>
    </row>
    <row r="297" spans="1:9" ht="18.75">
      <c r="A297" s="156"/>
      <c r="B297" s="135" t="s">
        <v>163</v>
      </c>
      <c r="C297" s="186" t="s">
        <v>295</v>
      </c>
      <c r="D297" s="179" t="s">
        <v>128</v>
      </c>
      <c r="E297" s="178">
        <v>15</v>
      </c>
      <c r="F297" s="137">
        <v>474.20880110589803</v>
      </c>
      <c r="G297" s="218">
        <f t="shared" si="9"/>
        <v>7113.1320165884708</v>
      </c>
      <c r="H297" s="196"/>
      <c r="I297" s="196"/>
    </row>
    <row r="298" spans="1:9" ht="18.75">
      <c r="A298" s="156"/>
      <c r="B298" s="164" t="s">
        <v>42</v>
      </c>
      <c r="C298" s="191" t="s">
        <v>42</v>
      </c>
      <c r="D298" s="223" t="s">
        <v>128</v>
      </c>
      <c r="E298" s="213">
        <v>15</v>
      </c>
      <c r="F298" s="165">
        <f>SUM(F299:F301)</f>
        <v>295.83652565016035</v>
      </c>
      <c r="G298" s="166">
        <f t="shared" si="9"/>
        <v>4437.5478847524055</v>
      </c>
      <c r="H298" s="196"/>
      <c r="I298" s="196"/>
    </row>
    <row r="299" spans="1:9" ht="18.75">
      <c r="A299" s="156"/>
      <c r="B299" s="126" t="s">
        <v>167</v>
      </c>
      <c r="C299" s="186" t="s">
        <v>16</v>
      </c>
      <c r="D299" s="179" t="s">
        <v>128</v>
      </c>
      <c r="E299" s="178">
        <v>15</v>
      </c>
      <c r="F299" s="137">
        <v>32.5</v>
      </c>
      <c r="G299" s="218">
        <f t="shared" si="9"/>
        <v>487.5</v>
      </c>
      <c r="H299" s="196"/>
      <c r="I299" s="196"/>
    </row>
    <row r="300" spans="1:9" ht="18.75">
      <c r="A300" s="156"/>
      <c r="B300" s="126" t="s">
        <v>172</v>
      </c>
      <c r="C300" s="186" t="s">
        <v>309</v>
      </c>
      <c r="D300" s="179" t="s">
        <v>128</v>
      </c>
      <c r="E300" s="178">
        <v>15</v>
      </c>
      <c r="F300" s="137">
        <v>153.37506452415499</v>
      </c>
      <c r="G300" s="218">
        <f t="shared" si="9"/>
        <v>2300.6259678623251</v>
      </c>
      <c r="H300" s="196"/>
      <c r="I300" s="196"/>
    </row>
    <row r="301" spans="1:9" ht="18.75">
      <c r="A301" s="156"/>
      <c r="B301" s="126" t="s">
        <v>173</v>
      </c>
      <c r="C301" s="186" t="s">
        <v>310</v>
      </c>
      <c r="D301" s="179" t="s">
        <v>128</v>
      </c>
      <c r="E301" s="178">
        <v>15</v>
      </c>
      <c r="F301" s="137">
        <v>109.96146112600536</v>
      </c>
      <c r="G301" s="218">
        <f t="shared" si="9"/>
        <v>1649.4219168900804</v>
      </c>
      <c r="H301" s="196"/>
      <c r="I301" s="196"/>
    </row>
    <row r="302" spans="1:9" s="145" customFormat="1" ht="56.25">
      <c r="A302" s="161" t="s">
        <v>240</v>
      </c>
      <c r="B302" s="146" t="s">
        <v>239</v>
      </c>
      <c r="C302" s="184"/>
      <c r="D302" s="219" t="s">
        <v>128</v>
      </c>
      <c r="E302" s="209">
        <v>0.5</v>
      </c>
      <c r="F302" s="196">
        <f>SUM(F303,F304,F308)</f>
        <v>27387.500596241251</v>
      </c>
      <c r="G302" s="196">
        <f t="shared" si="9"/>
        <v>13693.750298120625</v>
      </c>
      <c r="H302" s="196"/>
      <c r="I302" s="196"/>
    </row>
    <row r="303" spans="1:9" ht="18.75">
      <c r="A303" s="156"/>
      <c r="B303" s="164" t="s">
        <v>36</v>
      </c>
      <c r="C303" s="191" t="s">
        <v>36</v>
      </c>
      <c r="D303" s="223" t="s">
        <v>128</v>
      </c>
      <c r="E303" s="213">
        <v>0.5</v>
      </c>
      <c r="F303" s="165">
        <v>27387.500596241251</v>
      </c>
      <c r="G303" s="166">
        <f t="shared" si="9"/>
        <v>13693.750298120625</v>
      </c>
      <c r="H303" s="196"/>
      <c r="I303" s="196"/>
    </row>
    <row r="304" spans="1:9" ht="18.75">
      <c r="A304" s="156"/>
      <c r="B304" s="164" t="s">
        <v>39</v>
      </c>
      <c r="C304" s="191" t="s">
        <v>39</v>
      </c>
      <c r="D304" s="223" t="s">
        <v>128</v>
      </c>
      <c r="E304" s="213">
        <v>0.5</v>
      </c>
      <c r="F304" s="165"/>
      <c r="G304" s="166">
        <f t="shared" si="9"/>
        <v>0</v>
      </c>
      <c r="H304" s="196"/>
      <c r="I304" s="196"/>
    </row>
    <row r="305" spans="1:9" ht="18.75">
      <c r="A305" s="156"/>
      <c r="B305" s="135" t="s">
        <v>161</v>
      </c>
      <c r="C305" s="186" t="s">
        <v>308</v>
      </c>
      <c r="D305" s="179" t="s">
        <v>128</v>
      </c>
      <c r="E305" s="178">
        <v>0.5</v>
      </c>
      <c r="F305" s="137">
        <v>922.27097116418861</v>
      </c>
      <c r="G305" s="218">
        <f t="shared" si="9"/>
        <v>461.1354855820943</v>
      </c>
      <c r="H305" s="196"/>
      <c r="I305" s="196"/>
    </row>
    <row r="306" spans="1:9" ht="18.75">
      <c r="A306" s="156"/>
      <c r="B306" s="135" t="s">
        <v>136</v>
      </c>
      <c r="C306" s="186" t="s">
        <v>16</v>
      </c>
      <c r="D306" s="179" t="s">
        <v>128</v>
      </c>
      <c r="E306" s="178">
        <v>0.5</v>
      </c>
      <c r="F306" s="137">
        <v>667.57032703338064</v>
      </c>
      <c r="G306" s="218">
        <f t="shared" si="9"/>
        <v>333.78516351669032</v>
      </c>
      <c r="H306" s="196"/>
      <c r="I306" s="196"/>
    </row>
    <row r="307" spans="1:9" ht="18.75">
      <c r="A307" s="156"/>
      <c r="B307" s="135" t="s">
        <v>163</v>
      </c>
      <c r="C307" s="186" t="s">
        <v>295</v>
      </c>
      <c r="D307" s="179" t="s">
        <v>128</v>
      </c>
      <c r="E307" s="178">
        <v>0.5</v>
      </c>
      <c r="F307" s="137">
        <v>474.20880110589803</v>
      </c>
      <c r="G307" s="218">
        <f t="shared" si="9"/>
        <v>237.10440055294902</v>
      </c>
      <c r="H307" s="196"/>
      <c r="I307" s="196"/>
    </row>
    <row r="308" spans="1:9" ht="18.75">
      <c r="A308" s="156"/>
      <c r="B308" s="164" t="s">
        <v>42</v>
      </c>
      <c r="C308" s="191" t="s">
        <v>42</v>
      </c>
      <c r="D308" s="223" t="s">
        <v>128</v>
      </c>
      <c r="E308" s="213">
        <v>0.5</v>
      </c>
      <c r="F308" s="165">
        <v>0</v>
      </c>
      <c r="G308" s="166">
        <f t="shared" si="9"/>
        <v>0</v>
      </c>
      <c r="H308" s="196"/>
      <c r="I308" s="196"/>
    </row>
    <row r="309" spans="1:9" ht="18.75">
      <c r="A309" s="156"/>
      <c r="B309" s="126" t="s">
        <v>167</v>
      </c>
      <c r="C309" s="186" t="s">
        <v>16</v>
      </c>
      <c r="D309" s="179" t="s">
        <v>128</v>
      </c>
      <c r="E309" s="178">
        <v>0.5</v>
      </c>
      <c r="F309" s="137">
        <v>32.5</v>
      </c>
      <c r="G309" s="218">
        <f t="shared" si="9"/>
        <v>16.25</v>
      </c>
      <c r="H309" s="196"/>
      <c r="I309" s="196"/>
    </row>
    <row r="310" spans="1:9" ht="18.75">
      <c r="A310" s="156"/>
      <c r="B310" s="126" t="s">
        <v>172</v>
      </c>
      <c r="C310" s="186" t="s">
        <v>309</v>
      </c>
      <c r="D310" s="179" t="s">
        <v>128</v>
      </c>
      <c r="E310" s="178">
        <v>0.5</v>
      </c>
      <c r="F310" s="137">
        <v>153.37506452415499</v>
      </c>
      <c r="G310" s="218">
        <f t="shared" si="9"/>
        <v>76.687532262077497</v>
      </c>
      <c r="H310" s="196"/>
      <c r="I310" s="196"/>
    </row>
    <row r="311" spans="1:9" ht="18.75">
      <c r="A311" s="156"/>
      <c r="B311" s="126" t="s">
        <v>173</v>
      </c>
      <c r="C311" s="186" t="s">
        <v>310</v>
      </c>
      <c r="D311" s="179" t="s">
        <v>128</v>
      </c>
      <c r="E311" s="178">
        <v>0.5</v>
      </c>
      <c r="F311" s="137">
        <v>109.96146112600536</v>
      </c>
      <c r="G311" s="218">
        <f t="shared" si="9"/>
        <v>54.98073056300268</v>
      </c>
      <c r="H311" s="196"/>
      <c r="I311" s="196"/>
    </row>
    <row r="312" spans="1:9" s="145" customFormat="1" ht="75">
      <c r="A312" s="161" t="s">
        <v>242</v>
      </c>
      <c r="B312" s="146" t="s">
        <v>241</v>
      </c>
      <c r="C312" s="184"/>
      <c r="D312" s="219" t="s">
        <v>199</v>
      </c>
      <c r="E312" s="209">
        <v>125</v>
      </c>
      <c r="F312" s="196">
        <f>SUM(F313,F314,F315)</f>
        <v>477.16949999999997</v>
      </c>
      <c r="G312" s="196">
        <f t="shared" si="9"/>
        <v>59646.1875</v>
      </c>
      <c r="H312" s="196"/>
      <c r="I312" s="196"/>
    </row>
    <row r="313" spans="1:9" ht="18.75">
      <c r="A313" s="156"/>
      <c r="B313" s="164" t="s">
        <v>36</v>
      </c>
      <c r="C313" s="191" t="s">
        <v>36</v>
      </c>
      <c r="D313" s="223" t="s">
        <v>199</v>
      </c>
      <c r="E313" s="213">
        <v>125</v>
      </c>
      <c r="F313" s="166">
        <v>0</v>
      </c>
      <c r="G313" s="166">
        <f t="shared" si="9"/>
        <v>0</v>
      </c>
      <c r="H313" s="196"/>
      <c r="I313" s="196"/>
    </row>
    <row r="314" spans="1:9" ht="18.75">
      <c r="A314" s="156"/>
      <c r="B314" s="164" t="s">
        <v>39</v>
      </c>
      <c r="C314" s="191" t="s">
        <v>39</v>
      </c>
      <c r="D314" s="223" t="s">
        <v>199</v>
      </c>
      <c r="E314" s="213">
        <v>125</v>
      </c>
      <c r="F314" s="166">
        <v>0</v>
      </c>
      <c r="G314" s="166">
        <f t="shared" si="9"/>
        <v>0</v>
      </c>
      <c r="H314" s="196"/>
      <c r="I314" s="196"/>
    </row>
    <row r="315" spans="1:9" ht="18.75">
      <c r="A315" s="156"/>
      <c r="B315" s="164" t="s">
        <v>42</v>
      </c>
      <c r="C315" s="191" t="s">
        <v>42</v>
      </c>
      <c r="D315" s="223" t="s">
        <v>199</v>
      </c>
      <c r="E315" s="213">
        <v>125</v>
      </c>
      <c r="F315" s="165">
        <f>SUM(F316:F317)</f>
        <v>477.16949999999997</v>
      </c>
      <c r="G315" s="166">
        <f t="shared" si="9"/>
        <v>59646.1875</v>
      </c>
      <c r="H315" s="196"/>
      <c r="I315" s="196"/>
    </row>
    <row r="316" spans="1:9" ht="30">
      <c r="A316" s="156"/>
      <c r="B316" s="136" t="s">
        <v>243</v>
      </c>
      <c r="C316" s="186" t="s">
        <v>316</v>
      </c>
      <c r="D316" s="179" t="s">
        <v>199</v>
      </c>
      <c r="E316" s="178">
        <v>125</v>
      </c>
      <c r="F316" s="137">
        <v>318.113</v>
      </c>
      <c r="G316" s="218">
        <f t="shared" ref="G316:G378" si="11">(F316*E316)</f>
        <v>39764.125</v>
      </c>
      <c r="H316" s="196"/>
      <c r="I316" s="196"/>
    </row>
    <row r="317" spans="1:9" ht="18.75">
      <c r="A317" s="156"/>
      <c r="B317" s="126" t="s">
        <v>244</v>
      </c>
      <c r="C317" s="186" t="s">
        <v>317</v>
      </c>
      <c r="D317" s="179" t="s">
        <v>199</v>
      </c>
      <c r="E317" s="178">
        <v>125</v>
      </c>
      <c r="F317" s="137">
        <v>159.0565</v>
      </c>
      <c r="G317" s="218">
        <f t="shared" si="11"/>
        <v>19882.0625</v>
      </c>
      <c r="H317" s="196"/>
      <c r="I317" s="196"/>
    </row>
    <row r="318" spans="1:9" s="145" customFormat="1" ht="75">
      <c r="A318" s="161" t="s">
        <v>246</v>
      </c>
      <c r="B318" s="146" t="s">
        <v>245</v>
      </c>
      <c r="C318" s="184"/>
      <c r="D318" s="219" t="s">
        <v>199</v>
      </c>
      <c r="E318" s="209">
        <v>125</v>
      </c>
      <c r="F318" s="196">
        <f>SUM(F319,F320,F321)</f>
        <v>1149.9764249999998</v>
      </c>
      <c r="G318" s="196">
        <f t="shared" si="11"/>
        <v>143747.05312499998</v>
      </c>
      <c r="H318" s="196"/>
      <c r="I318" s="196"/>
    </row>
    <row r="319" spans="1:9" ht="18.75">
      <c r="A319" s="156"/>
      <c r="B319" s="164" t="s">
        <v>36</v>
      </c>
      <c r="C319" s="191" t="s">
        <v>36</v>
      </c>
      <c r="D319" s="223" t="s">
        <v>199</v>
      </c>
      <c r="E319" s="213">
        <v>125</v>
      </c>
      <c r="F319" s="166">
        <v>0</v>
      </c>
      <c r="G319" s="166">
        <f t="shared" si="11"/>
        <v>0</v>
      </c>
      <c r="H319" s="196"/>
      <c r="I319" s="196"/>
    </row>
    <row r="320" spans="1:9" ht="18.75">
      <c r="A320" s="156"/>
      <c r="B320" s="164" t="s">
        <v>39</v>
      </c>
      <c r="C320" s="191" t="s">
        <v>39</v>
      </c>
      <c r="D320" s="223" t="s">
        <v>199</v>
      </c>
      <c r="E320" s="213">
        <v>125</v>
      </c>
      <c r="F320" s="166">
        <v>0</v>
      </c>
      <c r="G320" s="166">
        <f t="shared" si="11"/>
        <v>0</v>
      </c>
      <c r="H320" s="196"/>
      <c r="I320" s="196"/>
    </row>
    <row r="321" spans="1:9" ht="18.75">
      <c r="A321" s="156"/>
      <c r="B321" s="164" t="s">
        <v>42</v>
      </c>
      <c r="C321" s="191" t="s">
        <v>42</v>
      </c>
      <c r="D321" s="223" t="s">
        <v>199</v>
      </c>
      <c r="E321" s="213">
        <v>125</v>
      </c>
      <c r="F321" s="165">
        <f>SUM(F322:F323)</f>
        <v>1149.9764249999998</v>
      </c>
      <c r="G321" s="166">
        <f t="shared" si="11"/>
        <v>143747.05312499998</v>
      </c>
      <c r="H321" s="196"/>
      <c r="I321" s="196"/>
    </row>
    <row r="322" spans="1:9" ht="30">
      <c r="A322" s="156"/>
      <c r="B322" s="136" t="s">
        <v>247</v>
      </c>
      <c r="C322" s="186" t="s">
        <v>316</v>
      </c>
      <c r="D322" s="179" t="s">
        <v>199</v>
      </c>
      <c r="E322" s="178">
        <v>125</v>
      </c>
      <c r="F322" s="137">
        <v>766.65094999999997</v>
      </c>
      <c r="G322" s="218">
        <f t="shared" si="11"/>
        <v>95831.368749999994</v>
      </c>
      <c r="H322" s="196"/>
      <c r="I322" s="196"/>
    </row>
    <row r="323" spans="1:9" ht="18.75">
      <c r="A323" s="156"/>
      <c r="B323" s="126" t="s">
        <v>244</v>
      </c>
      <c r="C323" s="186" t="s">
        <v>317</v>
      </c>
      <c r="D323" s="179" t="s">
        <v>199</v>
      </c>
      <c r="E323" s="178">
        <v>125</v>
      </c>
      <c r="F323" s="137">
        <v>383.32547499999998</v>
      </c>
      <c r="G323" s="218">
        <f t="shared" si="11"/>
        <v>47915.684374999997</v>
      </c>
      <c r="H323" s="196"/>
      <c r="I323" s="196"/>
    </row>
    <row r="324" spans="1:9" s="145" customFormat="1" ht="56.25">
      <c r="A324" s="161" t="s">
        <v>249</v>
      </c>
      <c r="B324" s="146" t="s">
        <v>248</v>
      </c>
      <c r="C324" s="184"/>
      <c r="D324" s="219" t="s">
        <v>199</v>
      </c>
      <c r="E324" s="209">
        <v>62.5</v>
      </c>
      <c r="F324" s="196">
        <f>SUM(F325,F326,F327)</f>
        <v>1149.9764249999998</v>
      </c>
      <c r="G324" s="196">
        <f t="shared" si="11"/>
        <v>71873.526562499988</v>
      </c>
      <c r="H324" s="196"/>
      <c r="I324" s="196"/>
    </row>
    <row r="325" spans="1:9" ht="18.75">
      <c r="A325" s="156"/>
      <c r="B325" s="164" t="s">
        <v>36</v>
      </c>
      <c r="C325" s="191" t="s">
        <v>36</v>
      </c>
      <c r="D325" s="223" t="s">
        <v>199</v>
      </c>
      <c r="E325" s="213">
        <v>62.5</v>
      </c>
      <c r="F325" s="166">
        <v>0</v>
      </c>
      <c r="G325" s="166">
        <f t="shared" si="11"/>
        <v>0</v>
      </c>
      <c r="H325" s="196"/>
      <c r="I325" s="196"/>
    </row>
    <row r="326" spans="1:9" ht="18.75">
      <c r="A326" s="156"/>
      <c r="B326" s="164" t="s">
        <v>39</v>
      </c>
      <c r="C326" s="191" t="s">
        <v>39</v>
      </c>
      <c r="D326" s="223" t="s">
        <v>199</v>
      </c>
      <c r="E326" s="213">
        <v>62.5</v>
      </c>
      <c r="F326" s="166">
        <v>0</v>
      </c>
      <c r="G326" s="166">
        <f t="shared" si="11"/>
        <v>0</v>
      </c>
      <c r="H326" s="196"/>
      <c r="I326" s="196"/>
    </row>
    <row r="327" spans="1:9" ht="18.75">
      <c r="A327" s="156"/>
      <c r="B327" s="164" t="s">
        <v>42</v>
      </c>
      <c r="C327" s="191" t="s">
        <v>42</v>
      </c>
      <c r="D327" s="223" t="s">
        <v>199</v>
      </c>
      <c r="E327" s="213">
        <v>62.5</v>
      </c>
      <c r="F327" s="165">
        <f>SUM(F328:F329)</f>
        <v>1149.9764249999998</v>
      </c>
      <c r="G327" s="166">
        <f t="shared" si="11"/>
        <v>71873.526562499988</v>
      </c>
      <c r="H327" s="196"/>
      <c r="I327" s="196"/>
    </row>
    <row r="328" spans="1:9" ht="30">
      <c r="A328" s="156"/>
      <c r="B328" s="136" t="s">
        <v>250</v>
      </c>
      <c r="C328" s="186" t="s">
        <v>316</v>
      </c>
      <c r="D328" s="179" t="s">
        <v>199</v>
      </c>
      <c r="E328" s="178">
        <v>62.5</v>
      </c>
      <c r="F328" s="137">
        <v>766.65094999999997</v>
      </c>
      <c r="G328" s="218">
        <f t="shared" si="11"/>
        <v>47915.684374999997</v>
      </c>
      <c r="H328" s="196"/>
      <c r="I328" s="196"/>
    </row>
    <row r="329" spans="1:9" ht="18.75">
      <c r="A329" s="156"/>
      <c r="B329" s="126" t="s">
        <v>244</v>
      </c>
      <c r="C329" s="186" t="s">
        <v>317</v>
      </c>
      <c r="D329" s="179" t="s">
        <v>199</v>
      </c>
      <c r="E329" s="178">
        <v>62.5</v>
      </c>
      <c r="F329" s="137">
        <v>383.32547499999998</v>
      </c>
      <c r="G329" s="218">
        <f t="shared" si="11"/>
        <v>23957.842187499999</v>
      </c>
      <c r="H329" s="196"/>
      <c r="I329" s="196"/>
    </row>
    <row r="330" spans="1:9" s="145" customFormat="1" ht="75">
      <c r="A330" s="161" t="s">
        <v>252</v>
      </c>
      <c r="B330" s="146" t="s">
        <v>251</v>
      </c>
      <c r="C330" s="184"/>
      <c r="D330" s="219" t="s">
        <v>199</v>
      </c>
      <c r="E330" s="209">
        <v>62.5</v>
      </c>
      <c r="F330" s="196">
        <f>SUM(F331,F332,F333)</f>
        <v>1495.5525</v>
      </c>
      <c r="G330" s="196">
        <f t="shared" si="11"/>
        <v>93472.03125</v>
      </c>
      <c r="H330" s="196"/>
      <c r="I330" s="196"/>
    </row>
    <row r="331" spans="1:9" ht="18.75">
      <c r="A331" s="156"/>
      <c r="B331" s="164" t="s">
        <v>36</v>
      </c>
      <c r="C331" s="191" t="s">
        <v>36</v>
      </c>
      <c r="D331" s="223" t="s">
        <v>199</v>
      </c>
      <c r="E331" s="213">
        <v>62.5</v>
      </c>
      <c r="F331" s="166">
        <v>0</v>
      </c>
      <c r="G331" s="166">
        <f t="shared" si="11"/>
        <v>0</v>
      </c>
      <c r="H331" s="196"/>
      <c r="I331" s="196"/>
    </row>
    <row r="332" spans="1:9" ht="18.75">
      <c r="A332" s="156"/>
      <c r="B332" s="164" t="s">
        <v>39</v>
      </c>
      <c r="C332" s="191" t="s">
        <v>39</v>
      </c>
      <c r="D332" s="223" t="s">
        <v>199</v>
      </c>
      <c r="E332" s="213">
        <v>62.5</v>
      </c>
      <c r="F332" s="166">
        <v>0</v>
      </c>
      <c r="G332" s="166">
        <f t="shared" si="11"/>
        <v>0</v>
      </c>
      <c r="H332" s="196"/>
      <c r="I332" s="196"/>
    </row>
    <row r="333" spans="1:9" ht="18.75">
      <c r="A333" s="156"/>
      <c r="B333" s="164" t="s">
        <v>42</v>
      </c>
      <c r="C333" s="191" t="s">
        <v>42</v>
      </c>
      <c r="D333" s="223" t="s">
        <v>199</v>
      </c>
      <c r="E333" s="213">
        <v>62.5</v>
      </c>
      <c r="F333" s="165">
        <f>SUM(F334:F335)</f>
        <v>1495.5525</v>
      </c>
      <c r="G333" s="166">
        <f t="shared" si="11"/>
        <v>93472.03125</v>
      </c>
      <c r="H333" s="196"/>
      <c r="I333" s="196"/>
    </row>
    <row r="334" spans="1:9" ht="30">
      <c r="A334" s="156"/>
      <c r="B334" s="136" t="s">
        <v>253</v>
      </c>
      <c r="C334" s="186" t="s">
        <v>316</v>
      </c>
      <c r="D334" s="179" t="s">
        <v>199</v>
      </c>
      <c r="E334" s="178">
        <v>62.5</v>
      </c>
      <c r="F334" s="137">
        <v>997.03499999999997</v>
      </c>
      <c r="G334" s="218">
        <f t="shared" si="11"/>
        <v>62314.6875</v>
      </c>
      <c r="H334" s="196"/>
      <c r="I334" s="196"/>
    </row>
    <row r="335" spans="1:9" ht="18.75">
      <c r="A335" s="156"/>
      <c r="B335" s="126" t="s">
        <v>244</v>
      </c>
      <c r="C335" s="186" t="s">
        <v>317</v>
      </c>
      <c r="D335" s="179" t="s">
        <v>199</v>
      </c>
      <c r="E335" s="178">
        <v>62.5</v>
      </c>
      <c r="F335" s="137">
        <v>498.51749999999998</v>
      </c>
      <c r="G335" s="218">
        <f t="shared" si="11"/>
        <v>31157.34375</v>
      </c>
      <c r="H335" s="196"/>
      <c r="I335" s="196"/>
    </row>
    <row r="336" spans="1:9" s="145" customFormat="1" ht="75">
      <c r="A336" s="161" t="s">
        <v>255</v>
      </c>
      <c r="B336" s="146" t="s">
        <v>254</v>
      </c>
      <c r="C336" s="184"/>
      <c r="D336" s="219" t="s">
        <v>199</v>
      </c>
      <c r="E336" s="209">
        <v>62.5</v>
      </c>
      <c r="F336" s="196">
        <f>SUM(F337,F338,F339)</f>
        <v>1719.8853749999998</v>
      </c>
      <c r="G336" s="196">
        <f t="shared" si="11"/>
        <v>107492.83593749999</v>
      </c>
      <c r="H336" s="196"/>
      <c r="I336" s="196"/>
    </row>
    <row r="337" spans="1:9" ht="18.75">
      <c r="A337" s="156"/>
      <c r="B337" s="164" t="s">
        <v>36</v>
      </c>
      <c r="C337" s="191" t="s">
        <v>36</v>
      </c>
      <c r="D337" s="223" t="s">
        <v>199</v>
      </c>
      <c r="E337" s="213">
        <v>62.5</v>
      </c>
      <c r="F337" s="166">
        <v>0</v>
      </c>
      <c r="G337" s="166">
        <f t="shared" si="11"/>
        <v>0</v>
      </c>
      <c r="H337" s="196"/>
      <c r="I337" s="196"/>
    </row>
    <row r="338" spans="1:9" ht="18.75">
      <c r="A338" s="156"/>
      <c r="B338" s="164" t="s">
        <v>39</v>
      </c>
      <c r="C338" s="191" t="s">
        <v>39</v>
      </c>
      <c r="D338" s="223" t="s">
        <v>199</v>
      </c>
      <c r="E338" s="213">
        <v>62.5</v>
      </c>
      <c r="F338" s="166">
        <v>0</v>
      </c>
      <c r="G338" s="166">
        <f t="shared" si="11"/>
        <v>0</v>
      </c>
      <c r="H338" s="196"/>
      <c r="I338" s="196"/>
    </row>
    <row r="339" spans="1:9" ht="18.75">
      <c r="A339" s="156"/>
      <c r="B339" s="164" t="s">
        <v>42</v>
      </c>
      <c r="C339" s="191" t="s">
        <v>42</v>
      </c>
      <c r="D339" s="223" t="s">
        <v>199</v>
      </c>
      <c r="E339" s="213">
        <v>62.5</v>
      </c>
      <c r="F339" s="165">
        <f>SUM(F340:F341)</f>
        <v>1719.8853749999998</v>
      </c>
      <c r="G339" s="166">
        <f t="shared" si="11"/>
        <v>107492.83593749999</v>
      </c>
      <c r="H339" s="196"/>
      <c r="I339" s="196"/>
    </row>
    <row r="340" spans="1:9" ht="30">
      <c r="A340" s="156"/>
      <c r="B340" s="136" t="s">
        <v>256</v>
      </c>
      <c r="C340" s="186" t="s">
        <v>316</v>
      </c>
      <c r="D340" s="179" t="s">
        <v>199</v>
      </c>
      <c r="E340" s="178">
        <v>62.5</v>
      </c>
      <c r="F340" s="137">
        <v>1146.59025</v>
      </c>
      <c r="G340" s="218">
        <f t="shared" si="11"/>
        <v>71661.890625</v>
      </c>
      <c r="H340" s="196"/>
      <c r="I340" s="196"/>
    </row>
    <row r="341" spans="1:9" ht="18.75">
      <c r="A341" s="156"/>
      <c r="B341" s="126" t="s">
        <v>244</v>
      </c>
      <c r="C341" s="186" t="s">
        <v>317</v>
      </c>
      <c r="D341" s="179" t="s">
        <v>199</v>
      </c>
      <c r="E341" s="178">
        <v>62.5</v>
      </c>
      <c r="F341" s="137">
        <v>573.29512499999998</v>
      </c>
      <c r="G341" s="218">
        <f t="shared" si="11"/>
        <v>35830.9453125</v>
      </c>
      <c r="H341" s="196"/>
      <c r="I341" s="196"/>
    </row>
    <row r="342" spans="1:9" s="145" customFormat="1" ht="75">
      <c r="A342" s="161" t="s">
        <v>258</v>
      </c>
      <c r="B342" s="146" t="s">
        <v>257</v>
      </c>
      <c r="C342" s="184"/>
      <c r="D342" s="219" t="s">
        <v>199</v>
      </c>
      <c r="E342" s="209">
        <v>62.5</v>
      </c>
      <c r="F342" s="196">
        <f>SUM(F343,F344,F345)</f>
        <v>3195.6297749999994</v>
      </c>
      <c r="G342" s="196">
        <f t="shared" si="11"/>
        <v>199726.86093749997</v>
      </c>
      <c r="H342" s="196"/>
      <c r="I342" s="196"/>
    </row>
    <row r="343" spans="1:9" ht="18.75">
      <c r="A343" s="156"/>
      <c r="B343" s="164" t="s">
        <v>36</v>
      </c>
      <c r="C343" s="191" t="s">
        <v>36</v>
      </c>
      <c r="D343" s="223" t="s">
        <v>199</v>
      </c>
      <c r="E343" s="213">
        <v>62.5</v>
      </c>
      <c r="F343" s="166">
        <v>0</v>
      </c>
      <c r="G343" s="166">
        <f t="shared" si="11"/>
        <v>0</v>
      </c>
      <c r="H343" s="196"/>
      <c r="I343" s="196"/>
    </row>
    <row r="344" spans="1:9" ht="18.75">
      <c r="A344" s="156"/>
      <c r="B344" s="164" t="s">
        <v>39</v>
      </c>
      <c r="C344" s="191" t="s">
        <v>39</v>
      </c>
      <c r="D344" s="223" t="s">
        <v>199</v>
      </c>
      <c r="E344" s="213">
        <v>62.5</v>
      </c>
      <c r="F344" s="166">
        <v>0</v>
      </c>
      <c r="G344" s="166">
        <f t="shared" si="11"/>
        <v>0</v>
      </c>
      <c r="H344" s="196"/>
      <c r="I344" s="196"/>
    </row>
    <row r="345" spans="1:9" ht="18.75">
      <c r="A345" s="156"/>
      <c r="B345" s="164" t="s">
        <v>42</v>
      </c>
      <c r="C345" s="191" t="s">
        <v>42</v>
      </c>
      <c r="D345" s="223" t="s">
        <v>199</v>
      </c>
      <c r="E345" s="213">
        <v>62.5</v>
      </c>
      <c r="F345" s="165">
        <f>SUM(F346:F347)</f>
        <v>3195.6297749999994</v>
      </c>
      <c r="G345" s="166">
        <f t="shared" si="11"/>
        <v>199726.86093749997</v>
      </c>
      <c r="H345" s="196"/>
      <c r="I345" s="196"/>
    </row>
    <row r="346" spans="1:9" ht="30">
      <c r="A346" s="156"/>
      <c r="B346" s="136" t="s">
        <v>259</v>
      </c>
      <c r="C346" s="186" t="s">
        <v>316</v>
      </c>
      <c r="D346" s="179" t="s">
        <v>199</v>
      </c>
      <c r="E346" s="178">
        <v>62.5</v>
      </c>
      <c r="F346" s="137">
        <v>2130.4198499999998</v>
      </c>
      <c r="G346" s="218">
        <f t="shared" si="11"/>
        <v>133151.24062499998</v>
      </c>
      <c r="H346" s="196"/>
      <c r="I346" s="196"/>
    </row>
    <row r="347" spans="1:9" ht="18.75">
      <c r="A347" s="156"/>
      <c r="B347" s="126" t="s">
        <v>244</v>
      </c>
      <c r="C347" s="186" t="s">
        <v>317</v>
      </c>
      <c r="D347" s="179" t="s">
        <v>199</v>
      </c>
      <c r="E347" s="178">
        <v>62.5</v>
      </c>
      <c r="F347" s="137">
        <v>1065.2099249999999</v>
      </c>
      <c r="G347" s="218">
        <f t="shared" si="11"/>
        <v>66575.620312499988</v>
      </c>
      <c r="H347" s="196"/>
      <c r="I347" s="196"/>
    </row>
    <row r="348" spans="1:9" s="145" customFormat="1" ht="37.5">
      <c r="A348" s="161" t="s">
        <v>261</v>
      </c>
      <c r="B348" s="146" t="s">
        <v>260</v>
      </c>
      <c r="C348" s="184"/>
      <c r="D348" s="219" t="s">
        <v>128</v>
      </c>
      <c r="E348" s="209">
        <v>2</v>
      </c>
      <c r="F348" s="196">
        <f>SUM(F349,F350,F351)</f>
        <v>35871.077696638888</v>
      </c>
      <c r="G348" s="196">
        <f t="shared" si="11"/>
        <v>71742.155393277775</v>
      </c>
      <c r="H348" s="196"/>
      <c r="I348" s="196"/>
    </row>
    <row r="349" spans="1:9" ht="18.75">
      <c r="A349" s="156"/>
      <c r="B349" s="164" t="s">
        <v>36</v>
      </c>
      <c r="C349" s="191" t="s">
        <v>36</v>
      </c>
      <c r="D349" s="223" t="s">
        <v>128</v>
      </c>
      <c r="E349" s="213">
        <v>2</v>
      </c>
      <c r="F349" s="166">
        <v>0</v>
      </c>
      <c r="G349" s="166">
        <f t="shared" si="11"/>
        <v>0</v>
      </c>
      <c r="H349" s="196"/>
      <c r="I349" s="196"/>
    </row>
    <row r="350" spans="1:9" ht="18.75">
      <c r="A350" s="156"/>
      <c r="B350" s="164" t="s">
        <v>39</v>
      </c>
      <c r="C350" s="191" t="s">
        <v>39</v>
      </c>
      <c r="D350" s="223" t="s">
        <v>128</v>
      </c>
      <c r="E350" s="213">
        <v>2</v>
      </c>
      <c r="F350" s="166">
        <v>0</v>
      </c>
      <c r="G350" s="166">
        <f t="shared" si="11"/>
        <v>0</v>
      </c>
      <c r="H350" s="196"/>
      <c r="I350" s="196"/>
    </row>
    <row r="351" spans="1:9" ht="18.75">
      <c r="A351" s="156"/>
      <c r="B351" s="164" t="s">
        <v>42</v>
      </c>
      <c r="C351" s="191" t="s">
        <v>42</v>
      </c>
      <c r="D351" s="223" t="s">
        <v>128</v>
      </c>
      <c r="E351" s="213">
        <v>2</v>
      </c>
      <c r="F351" s="165">
        <f>SUM(F352:F353)</f>
        <v>35871.077696638888</v>
      </c>
      <c r="G351" s="166">
        <f t="shared" si="11"/>
        <v>71742.155393277775</v>
      </c>
      <c r="H351" s="196"/>
      <c r="I351" s="196"/>
    </row>
    <row r="352" spans="1:9" ht="18.75">
      <c r="A352" s="156"/>
      <c r="B352" s="136" t="s">
        <v>262</v>
      </c>
      <c r="C352" s="186" t="s">
        <v>318</v>
      </c>
      <c r="D352" s="179" t="s">
        <v>128</v>
      </c>
      <c r="E352" s="178">
        <v>2</v>
      </c>
      <c r="F352" s="137">
        <v>35782.188807749997</v>
      </c>
      <c r="G352" s="218">
        <f t="shared" si="11"/>
        <v>71564.377615499994</v>
      </c>
      <c r="H352" s="196"/>
      <c r="I352" s="196"/>
    </row>
    <row r="353" spans="1:9" ht="18.75">
      <c r="A353" s="156"/>
      <c r="B353" s="136" t="s">
        <v>263</v>
      </c>
      <c r="C353" s="186" t="s">
        <v>319</v>
      </c>
      <c r="D353" s="179" t="s">
        <v>128</v>
      </c>
      <c r="E353" s="178">
        <v>2</v>
      </c>
      <c r="F353" s="137">
        <v>88.8888888888889</v>
      </c>
      <c r="G353" s="218">
        <f t="shared" si="11"/>
        <v>177.7777777777778</v>
      </c>
      <c r="H353" s="196"/>
      <c r="I353" s="196"/>
    </row>
    <row r="354" spans="1:9" s="145" customFormat="1" ht="75">
      <c r="A354" s="161" t="s">
        <v>265</v>
      </c>
      <c r="B354" s="146" t="s">
        <v>264</v>
      </c>
      <c r="C354" s="184"/>
      <c r="D354" s="219" t="s">
        <v>199</v>
      </c>
      <c r="E354" s="209">
        <v>125</v>
      </c>
      <c r="F354" s="196">
        <f>SUM(F355,F356,F358)</f>
        <v>987.01856898162612</v>
      </c>
      <c r="G354" s="196">
        <f t="shared" si="11"/>
        <v>123377.32112270326</v>
      </c>
      <c r="H354" s="196"/>
      <c r="I354" s="196"/>
    </row>
    <row r="355" spans="1:9" ht="18.75">
      <c r="A355" s="156"/>
      <c r="B355" s="164" t="s">
        <v>36</v>
      </c>
      <c r="C355" s="191" t="s">
        <v>36</v>
      </c>
      <c r="D355" s="223" t="s">
        <v>199</v>
      </c>
      <c r="E355" s="213">
        <v>125</v>
      </c>
      <c r="F355" s="165">
        <v>836.81213330680328</v>
      </c>
      <c r="G355" s="166">
        <f t="shared" si="11"/>
        <v>104601.51666335041</v>
      </c>
      <c r="H355" s="196"/>
      <c r="I355" s="196"/>
    </row>
    <row r="356" spans="1:9" ht="18.75">
      <c r="A356" s="156"/>
      <c r="B356" s="164" t="s">
        <v>39</v>
      </c>
      <c r="C356" s="191" t="s">
        <v>39</v>
      </c>
      <c r="D356" s="223" t="s">
        <v>199</v>
      </c>
      <c r="E356" s="213">
        <v>125</v>
      </c>
      <c r="F356" s="165">
        <f>F357</f>
        <v>28.556214049094667</v>
      </c>
      <c r="G356" s="166">
        <f t="shared" si="11"/>
        <v>3569.5267561368332</v>
      </c>
      <c r="H356" s="196"/>
      <c r="I356" s="196"/>
    </row>
    <row r="357" spans="1:9" ht="18.75">
      <c r="A357" s="156"/>
      <c r="B357" s="135" t="s">
        <v>136</v>
      </c>
      <c r="C357" s="186" t="s">
        <v>320</v>
      </c>
      <c r="D357" s="179" t="s">
        <v>199</v>
      </c>
      <c r="E357" s="178">
        <v>125</v>
      </c>
      <c r="F357" s="137">
        <v>28.556214049094667</v>
      </c>
      <c r="G357" s="218">
        <f t="shared" si="11"/>
        <v>3569.5267561368332</v>
      </c>
      <c r="H357" s="196"/>
      <c r="I357" s="196"/>
    </row>
    <row r="358" spans="1:9" ht="18.75">
      <c r="A358" s="156"/>
      <c r="B358" s="164" t="s">
        <v>42</v>
      </c>
      <c r="C358" s="191" t="s">
        <v>42</v>
      </c>
      <c r="D358" s="223" t="s">
        <v>199</v>
      </c>
      <c r="E358" s="213">
        <v>125</v>
      </c>
      <c r="F358" s="165">
        <f>SUM(F359:F360)</f>
        <v>121.65022162572809</v>
      </c>
      <c r="G358" s="166">
        <f t="shared" si="11"/>
        <v>15206.277703216012</v>
      </c>
      <c r="H358" s="196"/>
      <c r="I358" s="196"/>
    </row>
    <row r="359" spans="1:9" ht="18.75">
      <c r="A359" s="156"/>
      <c r="B359" s="126" t="s">
        <v>204</v>
      </c>
      <c r="C359" s="186" t="s">
        <v>309</v>
      </c>
      <c r="D359" s="179" t="s">
        <v>199</v>
      </c>
      <c r="E359" s="178">
        <v>125</v>
      </c>
      <c r="F359" s="137">
        <v>57.421783657069497</v>
      </c>
      <c r="G359" s="218">
        <f t="shared" si="11"/>
        <v>7177.7229571336875</v>
      </c>
      <c r="H359" s="196"/>
      <c r="I359" s="196"/>
    </row>
    <row r="360" spans="1:9" ht="18.75">
      <c r="A360" s="156"/>
      <c r="B360" s="136" t="s">
        <v>205</v>
      </c>
      <c r="C360" s="186" t="s">
        <v>299</v>
      </c>
      <c r="D360" s="179" t="s">
        <v>199</v>
      </c>
      <c r="E360" s="178">
        <v>125</v>
      </c>
      <c r="F360" s="137">
        <v>64.228437968658596</v>
      </c>
      <c r="G360" s="218">
        <f t="shared" si="11"/>
        <v>8028.5547460823245</v>
      </c>
      <c r="H360" s="196"/>
      <c r="I360" s="196"/>
    </row>
    <row r="361" spans="1:9" s="145" customFormat="1" ht="75">
      <c r="A361" s="161" t="s">
        <v>267</v>
      </c>
      <c r="B361" s="146" t="s">
        <v>266</v>
      </c>
      <c r="C361" s="184"/>
      <c r="D361" s="219" t="s">
        <v>199</v>
      </c>
      <c r="E361" s="209">
        <v>125</v>
      </c>
      <c r="F361" s="196">
        <f>SUM(F362,F363,F365)</f>
        <v>1073.5554037172174</v>
      </c>
      <c r="G361" s="196">
        <f t="shared" si="11"/>
        <v>134194.42546465216</v>
      </c>
      <c r="H361" s="196"/>
      <c r="I361" s="196"/>
    </row>
    <row r="362" spans="1:9" ht="18.75">
      <c r="A362" s="156"/>
      <c r="B362" s="164" t="s">
        <v>36</v>
      </c>
      <c r="C362" s="191" t="s">
        <v>36</v>
      </c>
      <c r="D362" s="223" t="s">
        <v>199</v>
      </c>
      <c r="E362" s="213">
        <v>125</v>
      </c>
      <c r="F362" s="165">
        <v>920.49334663748505</v>
      </c>
      <c r="G362" s="166">
        <f t="shared" si="11"/>
        <v>115061.66832968564</v>
      </c>
      <c r="H362" s="196"/>
      <c r="I362" s="196"/>
    </row>
    <row r="363" spans="1:9" ht="18.75">
      <c r="A363" s="156"/>
      <c r="B363" s="164" t="s">
        <v>39</v>
      </c>
      <c r="C363" s="191" t="s">
        <v>39</v>
      </c>
      <c r="D363" s="223" t="s">
        <v>199</v>
      </c>
      <c r="E363" s="213">
        <v>125</v>
      </c>
      <c r="F363" s="165">
        <f>F364</f>
        <v>31.411835454004184</v>
      </c>
      <c r="G363" s="166">
        <f t="shared" si="11"/>
        <v>3926.479431750523</v>
      </c>
      <c r="H363" s="196"/>
      <c r="I363" s="196"/>
    </row>
    <row r="364" spans="1:9" ht="18.75">
      <c r="A364" s="156"/>
      <c r="B364" s="135" t="s">
        <v>136</v>
      </c>
      <c r="C364" s="186" t="s">
        <v>320</v>
      </c>
      <c r="D364" s="179" t="s">
        <v>199</v>
      </c>
      <c r="E364" s="178">
        <v>125</v>
      </c>
      <c r="F364" s="137">
        <v>31.411835454004184</v>
      </c>
      <c r="G364" s="218">
        <f t="shared" si="11"/>
        <v>3926.479431750523</v>
      </c>
      <c r="H364" s="196"/>
      <c r="I364" s="196"/>
    </row>
    <row r="365" spans="1:9" ht="18.75">
      <c r="A365" s="156"/>
      <c r="B365" s="164" t="s">
        <v>42</v>
      </c>
      <c r="C365" s="191" t="s">
        <v>42</v>
      </c>
      <c r="D365" s="223" t="s">
        <v>199</v>
      </c>
      <c r="E365" s="213">
        <v>125</v>
      </c>
      <c r="F365" s="165">
        <f>SUM(F366:F367)</f>
        <v>121.65022162572809</v>
      </c>
      <c r="G365" s="166">
        <f t="shared" si="11"/>
        <v>15206.277703216012</v>
      </c>
      <c r="H365" s="196"/>
      <c r="I365" s="196"/>
    </row>
    <row r="366" spans="1:9" ht="18.75">
      <c r="A366" s="156"/>
      <c r="B366" s="126" t="s">
        <v>204</v>
      </c>
      <c r="C366" s="186" t="s">
        <v>309</v>
      </c>
      <c r="D366" s="179" t="s">
        <v>199</v>
      </c>
      <c r="E366" s="178">
        <v>125</v>
      </c>
      <c r="F366" s="137">
        <v>57.421783657069497</v>
      </c>
      <c r="G366" s="218">
        <f t="shared" si="11"/>
        <v>7177.7229571336875</v>
      </c>
      <c r="H366" s="196"/>
      <c r="I366" s="196"/>
    </row>
    <row r="367" spans="1:9" ht="18.75">
      <c r="A367" s="156"/>
      <c r="B367" s="136" t="s">
        <v>205</v>
      </c>
      <c r="C367" s="186" t="s">
        <v>299</v>
      </c>
      <c r="D367" s="179" t="s">
        <v>199</v>
      </c>
      <c r="E367" s="178">
        <v>125</v>
      </c>
      <c r="F367" s="137">
        <v>64.228437968658596</v>
      </c>
      <c r="G367" s="218">
        <f t="shared" si="11"/>
        <v>8028.5547460823245</v>
      </c>
      <c r="H367" s="196"/>
      <c r="I367" s="196"/>
    </row>
    <row r="368" spans="1:9" s="145" customFormat="1" ht="56.25">
      <c r="A368" s="161" t="s">
        <v>269</v>
      </c>
      <c r="B368" s="146" t="s">
        <v>268</v>
      </c>
      <c r="C368" s="184"/>
      <c r="D368" s="219" t="s">
        <v>199</v>
      </c>
      <c r="E368" s="209">
        <v>62.5</v>
      </c>
      <c r="F368" s="196">
        <f>SUM(F369,F370,F372)</f>
        <v>1073.5554037172174</v>
      </c>
      <c r="G368" s="196">
        <f t="shared" si="11"/>
        <v>67097.212732326079</v>
      </c>
      <c r="H368" s="196"/>
      <c r="I368" s="196"/>
    </row>
    <row r="369" spans="1:9" ht="18.75">
      <c r="A369" s="156"/>
      <c r="B369" s="164" t="s">
        <v>36</v>
      </c>
      <c r="C369" s="191" t="s">
        <v>36</v>
      </c>
      <c r="D369" s="223" t="s">
        <v>199</v>
      </c>
      <c r="E369" s="213">
        <v>62.5</v>
      </c>
      <c r="F369" s="165">
        <v>920.49334663748505</v>
      </c>
      <c r="G369" s="166">
        <f t="shared" si="11"/>
        <v>57530.834164842818</v>
      </c>
      <c r="H369" s="196"/>
      <c r="I369" s="196"/>
    </row>
    <row r="370" spans="1:9" ht="18.75">
      <c r="A370" s="156"/>
      <c r="B370" s="164" t="s">
        <v>39</v>
      </c>
      <c r="C370" s="191" t="s">
        <v>39</v>
      </c>
      <c r="D370" s="223" t="s">
        <v>199</v>
      </c>
      <c r="E370" s="213">
        <v>62.5</v>
      </c>
      <c r="F370" s="165">
        <f>(F371)</f>
        <v>31.411835454004184</v>
      </c>
      <c r="G370" s="166">
        <f t="shared" si="11"/>
        <v>1963.2397158752615</v>
      </c>
      <c r="H370" s="196"/>
      <c r="I370" s="196"/>
    </row>
    <row r="371" spans="1:9" ht="18.75">
      <c r="A371" s="156"/>
      <c r="B371" s="135" t="s">
        <v>136</v>
      </c>
      <c r="C371" s="186" t="s">
        <v>320</v>
      </c>
      <c r="D371" s="179" t="s">
        <v>199</v>
      </c>
      <c r="E371" s="178">
        <v>62.5</v>
      </c>
      <c r="F371" s="137">
        <v>31.411835454004184</v>
      </c>
      <c r="G371" s="218">
        <f t="shared" si="11"/>
        <v>1963.2397158752615</v>
      </c>
      <c r="H371" s="196"/>
      <c r="I371" s="196"/>
    </row>
    <row r="372" spans="1:9" ht="18.75">
      <c r="A372" s="156"/>
      <c r="B372" s="164" t="s">
        <v>42</v>
      </c>
      <c r="C372" s="191" t="s">
        <v>42</v>
      </c>
      <c r="D372" s="223" t="s">
        <v>199</v>
      </c>
      <c r="E372" s="213">
        <v>62.5</v>
      </c>
      <c r="F372" s="165">
        <f>SUM(F373:F374)</f>
        <v>121.65022162572809</v>
      </c>
      <c r="G372" s="166">
        <f t="shared" si="11"/>
        <v>7603.138851608006</v>
      </c>
      <c r="H372" s="196"/>
      <c r="I372" s="196"/>
    </row>
    <row r="373" spans="1:9" ht="18.75">
      <c r="A373" s="156"/>
      <c r="B373" s="126" t="s">
        <v>204</v>
      </c>
      <c r="C373" s="186" t="s">
        <v>309</v>
      </c>
      <c r="D373" s="179" t="s">
        <v>199</v>
      </c>
      <c r="E373" s="178">
        <v>62.5</v>
      </c>
      <c r="F373" s="137">
        <v>57.421783657069497</v>
      </c>
      <c r="G373" s="218">
        <f t="shared" si="11"/>
        <v>3588.8614785668437</v>
      </c>
      <c r="H373" s="196"/>
      <c r="I373" s="196"/>
    </row>
    <row r="374" spans="1:9" ht="18.75">
      <c r="A374" s="156"/>
      <c r="B374" s="136" t="s">
        <v>205</v>
      </c>
      <c r="C374" s="186" t="s">
        <v>299</v>
      </c>
      <c r="D374" s="179" t="s">
        <v>199</v>
      </c>
      <c r="E374" s="178">
        <v>62.5</v>
      </c>
      <c r="F374" s="137">
        <v>64.228437968658596</v>
      </c>
      <c r="G374" s="218">
        <f t="shared" si="11"/>
        <v>4014.2773730411623</v>
      </c>
      <c r="H374" s="196"/>
      <c r="I374" s="196"/>
    </row>
    <row r="375" spans="1:9" s="145" customFormat="1" ht="75">
      <c r="A375" s="161" t="s">
        <v>271</v>
      </c>
      <c r="B375" s="146" t="s">
        <v>270</v>
      </c>
      <c r="C375" s="184"/>
      <c r="D375" s="219" t="s">
        <v>199</v>
      </c>
      <c r="E375" s="209">
        <v>62.5</v>
      </c>
      <c r="F375" s="196">
        <f>SUM(F376,F377,F379)</f>
        <v>1219.4177653127635</v>
      </c>
      <c r="G375" s="196">
        <f t="shared" si="11"/>
        <v>76213.610332047727</v>
      </c>
      <c r="H375" s="196"/>
      <c r="I375" s="196"/>
    </row>
    <row r="376" spans="1:9" ht="18.75">
      <c r="A376" s="156"/>
      <c r="B376" s="164" t="s">
        <v>36</v>
      </c>
      <c r="C376" s="191" t="s">
        <v>36</v>
      </c>
      <c r="D376" s="223" t="s">
        <v>199</v>
      </c>
      <c r="E376" s="213">
        <v>62.5</v>
      </c>
      <c r="F376" s="165">
        <v>1046.0151666335025</v>
      </c>
      <c r="G376" s="166">
        <f t="shared" si="11"/>
        <v>65375.947914593911</v>
      </c>
      <c r="H376" s="196"/>
      <c r="I376" s="196"/>
    </row>
    <row r="377" spans="1:9" ht="18.75">
      <c r="A377" s="156"/>
      <c r="B377" s="164" t="s">
        <v>39</v>
      </c>
      <c r="C377" s="191" t="s">
        <v>39</v>
      </c>
      <c r="D377" s="223" t="s">
        <v>199</v>
      </c>
      <c r="E377" s="213">
        <v>62.5</v>
      </c>
      <c r="F377" s="165">
        <f>F378</f>
        <v>35.695267561368283</v>
      </c>
      <c r="G377" s="166">
        <f t="shared" si="11"/>
        <v>2230.9542225855175</v>
      </c>
      <c r="H377" s="196"/>
      <c r="I377" s="196"/>
    </row>
    <row r="378" spans="1:9" ht="18.75">
      <c r="A378" s="156"/>
      <c r="B378" s="135" t="s">
        <v>136</v>
      </c>
      <c r="C378" s="186" t="s">
        <v>320</v>
      </c>
      <c r="D378" s="179" t="s">
        <v>199</v>
      </c>
      <c r="E378" s="178">
        <v>62.5</v>
      </c>
      <c r="F378" s="137">
        <v>35.695267561368283</v>
      </c>
      <c r="G378" s="218">
        <f t="shared" si="11"/>
        <v>2230.9542225855175</v>
      </c>
      <c r="H378" s="196"/>
      <c r="I378" s="196"/>
    </row>
    <row r="379" spans="1:9" ht="18.75">
      <c r="A379" s="156"/>
      <c r="B379" s="164" t="s">
        <v>42</v>
      </c>
      <c r="C379" s="191" t="s">
        <v>42</v>
      </c>
      <c r="D379" s="223" t="s">
        <v>199</v>
      </c>
      <c r="E379" s="213">
        <v>62.5</v>
      </c>
      <c r="F379" s="165">
        <f>SUM(F380:F381)</f>
        <v>137.70733111789269</v>
      </c>
      <c r="G379" s="166">
        <f t="shared" ref="G379:G403" si="12">(F379*E379)</f>
        <v>8606.7081948682935</v>
      </c>
      <c r="H379" s="196"/>
      <c r="I379" s="196"/>
    </row>
    <row r="380" spans="1:9" ht="18.75">
      <c r="A380" s="156"/>
      <c r="B380" s="126" t="s">
        <v>204</v>
      </c>
      <c r="C380" s="186" t="s">
        <v>309</v>
      </c>
      <c r="D380" s="179" t="s">
        <v>199</v>
      </c>
      <c r="E380" s="178">
        <v>62.5</v>
      </c>
      <c r="F380" s="137">
        <v>57.421783657069497</v>
      </c>
      <c r="G380" s="218">
        <f t="shared" si="12"/>
        <v>3588.8614785668437</v>
      </c>
      <c r="H380" s="196"/>
      <c r="I380" s="196"/>
    </row>
    <row r="381" spans="1:9" ht="18.75">
      <c r="A381" s="156"/>
      <c r="B381" s="126" t="s">
        <v>205</v>
      </c>
      <c r="C381" s="186" t="s">
        <v>299</v>
      </c>
      <c r="D381" s="179" t="s">
        <v>199</v>
      </c>
      <c r="E381" s="178">
        <v>62.5</v>
      </c>
      <c r="F381" s="137">
        <v>80.285547460823196</v>
      </c>
      <c r="G381" s="218">
        <f t="shared" si="12"/>
        <v>5017.8467163014493</v>
      </c>
      <c r="H381" s="196"/>
      <c r="I381" s="196"/>
    </row>
    <row r="382" spans="1:9" s="145" customFormat="1" ht="75">
      <c r="A382" s="161" t="s">
        <v>273</v>
      </c>
      <c r="B382" s="146" t="s">
        <v>272</v>
      </c>
      <c r="C382" s="184"/>
      <c r="D382" s="219" t="s">
        <v>199</v>
      </c>
      <c r="E382" s="209">
        <v>62.5</v>
      </c>
      <c r="F382" s="196">
        <f>SUM(F383,F384,F386)</f>
        <v>1219.4177653127635</v>
      </c>
      <c r="G382" s="196">
        <f t="shared" si="12"/>
        <v>76213.610332047727</v>
      </c>
      <c r="H382" s="196"/>
      <c r="I382" s="196"/>
    </row>
    <row r="383" spans="1:9" ht="18.75">
      <c r="A383" s="156"/>
      <c r="B383" s="164" t="s">
        <v>36</v>
      </c>
      <c r="C383" s="191" t="s">
        <v>36</v>
      </c>
      <c r="D383" s="223" t="s">
        <v>199</v>
      </c>
      <c r="E383" s="213">
        <v>62.5</v>
      </c>
      <c r="F383" s="165">
        <v>1046.0151666335025</v>
      </c>
      <c r="G383" s="166">
        <f t="shared" si="12"/>
        <v>65375.947914593911</v>
      </c>
      <c r="H383" s="196"/>
      <c r="I383" s="196"/>
    </row>
    <row r="384" spans="1:9" ht="18.75">
      <c r="A384" s="156"/>
      <c r="B384" s="164" t="s">
        <v>39</v>
      </c>
      <c r="C384" s="191" t="s">
        <v>39</v>
      </c>
      <c r="D384" s="223" t="s">
        <v>199</v>
      </c>
      <c r="E384" s="213">
        <v>62.5</v>
      </c>
      <c r="F384" s="165">
        <f>F385</f>
        <v>35.695267561368283</v>
      </c>
      <c r="G384" s="166">
        <f t="shared" si="12"/>
        <v>2230.9542225855175</v>
      </c>
      <c r="H384" s="196"/>
      <c r="I384" s="196"/>
    </row>
    <row r="385" spans="1:9" ht="18.75">
      <c r="A385" s="156"/>
      <c r="B385" s="135" t="s">
        <v>136</v>
      </c>
      <c r="C385" s="186" t="s">
        <v>320</v>
      </c>
      <c r="D385" s="179" t="s">
        <v>199</v>
      </c>
      <c r="E385" s="178">
        <v>62.5</v>
      </c>
      <c r="F385" s="137">
        <v>35.695267561368283</v>
      </c>
      <c r="G385" s="218">
        <f t="shared" si="12"/>
        <v>2230.9542225855175</v>
      </c>
      <c r="H385" s="196"/>
      <c r="I385" s="196"/>
    </row>
    <row r="386" spans="1:9" ht="18.75">
      <c r="A386" s="156"/>
      <c r="B386" s="164" t="s">
        <v>42</v>
      </c>
      <c r="C386" s="191" t="s">
        <v>42</v>
      </c>
      <c r="D386" s="223" t="s">
        <v>199</v>
      </c>
      <c r="E386" s="213">
        <v>62.5</v>
      </c>
      <c r="F386" s="165">
        <f>SUM(F387:F388)</f>
        <v>137.70733111789269</v>
      </c>
      <c r="G386" s="166">
        <f t="shared" si="12"/>
        <v>8606.7081948682935</v>
      </c>
      <c r="H386" s="196"/>
      <c r="I386" s="196"/>
    </row>
    <row r="387" spans="1:9" ht="18.75">
      <c r="A387" s="156"/>
      <c r="B387" s="126" t="s">
        <v>204</v>
      </c>
      <c r="C387" s="186" t="s">
        <v>309</v>
      </c>
      <c r="D387" s="179" t="s">
        <v>199</v>
      </c>
      <c r="E387" s="178">
        <v>62.5</v>
      </c>
      <c r="F387" s="137">
        <v>57.421783657069497</v>
      </c>
      <c r="G387" s="218">
        <f t="shared" si="12"/>
        <v>3588.8614785668437</v>
      </c>
      <c r="H387" s="196"/>
      <c r="I387" s="196"/>
    </row>
    <row r="388" spans="1:9" ht="18.75">
      <c r="A388" s="156"/>
      <c r="B388" s="126" t="s">
        <v>205</v>
      </c>
      <c r="C388" s="186" t="s">
        <v>299</v>
      </c>
      <c r="D388" s="179" t="s">
        <v>199</v>
      </c>
      <c r="E388" s="178">
        <v>62.5</v>
      </c>
      <c r="F388" s="137">
        <v>80.285547460823196</v>
      </c>
      <c r="G388" s="218">
        <f t="shared" si="12"/>
        <v>5017.8467163014493</v>
      </c>
      <c r="H388" s="196"/>
      <c r="I388" s="196"/>
    </row>
    <row r="389" spans="1:9" s="145" customFormat="1" ht="75">
      <c r="A389" s="161" t="s">
        <v>275</v>
      </c>
      <c r="B389" s="144" t="s">
        <v>274</v>
      </c>
      <c r="C389" s="184"/>
      <c r="D389" s="219" t="s">
        <v>199</v>
      </c>
      <c r="E389" s="209">
        <v>62.5</v>
      </c>
      <c r="F389" s="196">
        <f>SUM(F390,F391,F393)</f>
        <v>2032.9790633089542</v>
      </c>
      <c r="G389" s="196">
        <f t="shared" si="12"/>
        <v>127061.19145680964</v>
      </c>
      <c r="H389" s="196"/>
      <c r="I389" s="196"/>
    </row>
    <row r="390" spans="1:9" ht="18.75">
      <c r="A390" s="156"/>
      <c r="B390" s="164" t="s">
        <v>36</v>
      </c>
      <c r="C390" s="191" t="s">
        <v>36</v>
      </c>
      <c r="D390" s="223" t="s">
        <v>199</v>
      </c>
      <c r="E390" s="213">
        <v>62.5</v>
      </c>
      <c r="F390" s="165">
        <v>1773.3490928292081</v>
      </c>
      <c r="G390" s="166">
        <f t="shared" si="12"/>
        <v>110834.31830182551</v>
      </c>
      <c r="H390" s="196"/>
      <c r="I390" s="196"/>
    </row>
    <row r="391" spans="1:9" ht="18.75">
      <c r="A391" s="156"/>
      <c r="B391" s="164" t="s">
        <v>39</v>
      </c>
      <c r="C391" s="191" t="s">
        <v>39</v>
      </c>
      <c r="D391" s="223" t="s">
        <v>199</v>
      </c>
      <c r="E391" s="213">
        <v>62.5</v>
      </c>
      <c r="F391" s="165">
        <f>F392</f>
        <v>60.515537792796735</v>
      </c>
      <c r="G391" s="166">
        <f t="shared" si="12"/>
        <v>3782.2211120497959</v>
      </c>
      <c r="H391" s="196"/>
      <c r="I391" s="196"/>
    </row>
    <row r="392" spans="1:9" ht="18.75">
      <c r="A392" s="156"/>
      <c r="B392" s="135" t="s">
        <v>136</v>
      </c>
      <c r="C392" s="186" t="s">
        <v>320</v>
      </c>
      <c r="D392" s="179" t="s">
        <v>199</v>
      </c>
      <c r="E392" s="178">
        <v>62.5</v>
      </c>
      <c r="F392" s="137">
        <v>60.515537792796735</v>
      </c>
      <c r="G392" s="218">
        <f t="shared" si="12"/>
        <v>3782.2211120497959</v>
      </c>
      <c r="H392" s="196"/>
      <c r="I392" s="196"/>
    </row>
    <row r="393" spans="1:9" ht="18.75">
      <c r="A393" s="156"/>
      <c r="B393" s="164" t="s">
        <v>42</v>
      </c>
      <c r="C393" s="191" t="s">
        <v>42</v>
      </c>
      <c r="D393" s="223" t="s">
        <v>199</v>
      </c>
      <c r="E393" s="213">
        <v>62.5</v>
      </c>
      <c r="F393" s="165">
        <f>SUM(F394:F395)</f>
        <v>199.1144326869495</v>
      </c>
      <c r="G393" s="166">
        <f t="shared" si="12"/>
        <v>12444.652042934344</v>
      </c>
      <c r="H393" s="196"/>
      <c r="I393" s="196"/>
    </row>
    <row r="394" spans="1:9" ht="18.75">
      <c r="A394" s="156"/>
      <c r="B394" s="126" t="s">
        <v>204</v>
      </c>
      <c r="C394" s="186" t="s">
        <v>309</v>
      </c>
      <c r="D394" s="179" t="s">
        <v>199</v>
      </c>
      <c r="E394" s="178">
        <v>62.5</v>
      </c>
      <c r="F394" s="137">
        <v>57.421783657069497</v>
      </c>
      <c r="G394" s="218">
        <f t="shared" si="12"/>
        <v>3588.8614785668437</v>
      </c>
      <c r="H394" s="196"/>
      <c r="I394" s="196"/>
    </row>
    <row r="395" spans="1:9" ht="18.75">
      <c r="A395" s="156"/>
      <c r="B395" s="126" t="s">
        <v>205</v>
      </c>
      <c r="C395" s="186" t="s">
        <v>299</v>
      </c>
      <c r="D395" s="179" t="s">
        <v>199</v>
      </c>
      <c r="E395" s="178">
        <v>62.5</v>
      </c>
      <c r="F395" s="137">
        <v>141.69264902987999</v>
      </c>
      <c r="G395" s="218">
        <f t="shared" si="12"/>
        <v>8855.7905643674985</v>
      </c>
      <c r="H395" s="196"/>
      <c r="I395" s="196"/>
    </row>
    <row r="396" spans="1:9" s="145" customFormat="1" ht="37.5">
      <c r="A396" s="161" t="s">
        <v>277</v>
      </c>
      <c r="B396" s="146" t="s">
        <v>276</v>
      </c>
      <c r="C396" s="184"/>
      <c r="D396" s="219" t="s">
        <v>128</v>
      </c>
      <c r="E396" s="209">
        <v>2</v>
      </c>
      <c r="F396" s="196">
        <f>SUM(F397,F398,F401)</f>
        <v>28011.241936285329</v>
      </c>
      <c r="G396" s="196">
        <f t="shared" si="12"/>
        <v>56022.483872570658</v>
      </c>
      <c r="H396" s="196"/>
      <c r="I396" s="196"/>
    </row>
    <row r="397" spans="1:9" ht="18.75">
      <c r="A397" s="156"/>
      <c r="B397" s="164" t="s">
        <v>36</v>
      </c>
      <c r="C397" s="191" t="s">
        <v>36</v>
      </c>
      <c r="D397" s="223" t="s">
        <v>128</v>
      </c>
      <c r="E397" s="213">
        <v>2</v>
      </c>
      <c r="F397" s="165">
        <v>17445.65165997254</v>
      </c>
      <c r="G397" s="166">
        <f t="shared" si="12"/>
        <v>34891.30331994508</v>
      </c>
      <c r="H397" s="196"/>
      <c r="I397" s="196"/>
    </row>
    <row r="398" spans="1:9" ht="18.75">
      <c r="A398" s="156"/>
      <c r="B398" s="164" t="s">
        <v>39</v>
      </c>
      <c r="C398" s="191" t="s">
        <v>39</v>
      </c>
      <c r="D398" s="223" t="s">
        <v>128</v>
      </c>
      <c r="E398" s="213">
        <v>2</v>
      </c>
      <c r="F398" s="165">
        <f>SUM(F399:F400)</f>
        <v>10508.168492655721</v>
      </c>
      <c r="G398" s="166">
        <f t="shared" si="12"/>
        <v>21016.336985311442</v>
      </c>
      <c r="H398" s="196"/>
      <c r="I398" s="196"/>
    </row>
    <row r="399" spans="1:9" ht="18.75">
      <c r="A399" s="156"/>
      <c r="B399" s="135" t="s">
        <v>136</v>
      </c>
      <c r="C399" s="186" t="s">
        <v>320</v>
      </c>
      <c r="D399" s="179" t="s">
        <v>128</v>
      </c>
      <c r="E399" s="178">
        <v>2</v>
      </c>
      <c r="F399" s="137">
        <v>850.47551842366147</v>
      </c>
      <c r="G399" s="218">
        <f t="shared" si="12"/>
        <v>1700.9510368473229</v>
      </c>
      <c r="H399" s="196"/>
      <c r="I399" s="196"/>
    </row>
    <row r="400" spans="1:9" ht="18.75">
      <c r="A400" s="156"/>
      <c r="B400" s="135" t="s">
        <v>161</v>
      </c>
      <c r="C400" s="192" t="s">
        <v>308</v>
      </c>
      <c r="D400" s="179" t="s">
        <v>128</v>
      </c>
      <c r="E400" s="178">
        <v>2</v>
      </c>
      <c r="F400" s="137">
        <v>9657.692974232059</v>
      </c>
      <c r="G400" s="218">
        <f t="shared" si="12"/>
        <v>19315.385948464118</v>
      </c>
      <c r="H400" s="196"/>
      <c r="I400" s="196"/>
    </row>
    <row r="401" spans="1:9" ht="18.75">
      <c r="A401" s="156"/>
      <c r="B401" s="164" t="s">
        <v>42</v>
      </c>
      <c r="C401" s="191" t="s">
        <v>42</v>
      </c>
      <c r="D401" s="223" t="s">
        <v>128</v>
      </c>
      <c r="E401" s="213">
        <v>2</v>
      </c>
      <c r="F401" s="165">
        <f>F402</f>
        <v>57.421783657069497</v>
      </c>
      <c r="G401" s="166">
        <f t="shared" si="12"/>
        <v>114.84356731413899</v>
      </c>
      <c r="H401" s="196"/>
      <c r="I401" s="196"/>
    </row>
    <row r="402" spans="1:9" ht="18.75">
      <c r="A402" s="156"/>
      <c r="B402" s="126" t="s">
        <v>204</v>
      </c>
      <c r="C402" s="186" t="s">
        <v>309</v>
      </c>
      <c r="D402" s="179" t="s">
        <v>128</v>
      </c>
      <c r="E402" s="178">
        <v>2</v>
      </c>
      <c r="F402" s="137">
        <v>57.421783657069497</v>
      </c>
      <c r="G402" s="218">
        <f t="shared" si="12"/>
        <v>114.84356731413899</v>
      </c>
      <c r="H402" s="196"/>
      <c r="I402" s="196"/>
    </row>
    <row r="403" spans="1:9" s="145" customFormat="1" ht="36">
      <c r="A403" s="162" t="s">
        <v>321</v>
      </c>
      <c r="B403" s="148" t="s">
        <v>322</v>
      </c>
      <c r="C403" s="184"/>
      <c r="D403" s="225" t="s">
        <v>28</v>
      </c>
      <c r="E403" s="214">
        <v>1</v>
      </c>
      <c r="F403" s="196">
        <v>1164841.19</v>
      </c>
      <c r="G403" s="196">
        <f t="shared" si="12"/>
        <v>1164841.19</v>
      </c>
      <c r="H403" s="196"/>
      <c r="I403" s="196"/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1"/>
  <sheetViews>
    <sheetView zoomScaleNormal="100" workbookViewId="0">
      <selection activeCell="B10" sqref="B10"/>
    </sheetView>
  </sheetViews>
  <sheetFormatPr defaultColWidth="8.7109375" defaultRowHeight="15"/>
  <cols>
    <col min="1" max="1" width="12.5703125" customWidth="1"/>
    <col min="2" max="2" width="19" customWidth="1"/>
  </cols>
  <sheetData>
    <row r="1" spans="1:18">
      <c r="A1" s="236" t="s">
        <v>323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</row>
    <row r="2" spans="1:18">
      <c r="A2" s="1" t="s">
        <v>4</v>
      </c>
      <c r="B2" s="163" t="s">
        <v>5</v>
      </c>
      <c r="C2" t="s">
        <v>324</v>
      </c>
      <c r="D2" s="2">
        <v>46113</v>
      </c>
      <c r="E2" s="2">
        <v>46143</v>
      </c>
      <c r="F2" s="2">
        <v>46174</v>
      </c>
      <c r="G2" s="2">
        <v>46204</v>
      </c>
      <c r="H2" s="2">
        <v>46235</v>
      </c>
      <c r="I2" s="2">
        <v>46266</v>
      </c>
      <c r="J2" s="2">
        <v>46296</v>
      </c>
      <c r="K2" s="2">
        <v>46327</v>
      </c>
      <c r="L2" s="2">
        <v>46357</v>
      </c>
      <c r="M2" s="2">
        <v>46388</v>
      </c>
      <c r="N2" s="2">
        <v>46419</v>
      </c>
      <c r="O2" s="2">
        <v>46447</v>
      </c>
      <c r="P2" s="2">
        <v>46478</v>
      </c>
      <c r="Q2" s="2">
        <v>46508</v>
      </c>
      <c r="R2" s="2">
        <v>46539</v>
      </c>
    </row>
    <row r="3" spans="1:18">
      <c r="A3" s="3" t="s">
        <v>6</v>
      </c>
      <c r="B3" s="4" t="s">
        <v>6</v>
      </c>
    </row>
    <row r="4" spans="1:18">
      <c r="A4" s="3" t="s">
        <v>7</v>
      </c>
      <c r="B4" s="4"/>
    </row>
    <row r="5" spans="1:18">
      <c r="A5" s="7"/>
      <c r="B5" s="8" t="s">
        <v>8</v>
      </c>
    </row>
    <row r="6" spans="1:18">
      <c r="A6" s="7"/>
      <c r="B6" s="8" t="s">
        <v>9</v>
      </c>
    </row>
    <row r="7" spans="1:18">
      <c r="A7" s="7"/>
      <c r="B7" s="8" t="s">
        <v>10</v>
      </c>
    </row>
    <row r="8" spans="1:18">
      <c r="A8" s="7"/>
      <c r="B8" s="8" t="s">
        <v>11</v>
      </c>
    </row>
    <row r="9" spans="1:18">
      <c r="A9" s="7"/>
      <c r="B9" s="8" t="s">
        <v>12</v>
      </c>
    </row>
    <row r="10" spans="1:18">
      <c r="A10" s="11"/>
      <c r="B10" s="8" t="s">
        <v>13</v>
      </c>
    </row>
    <row r="11" spans="1:18">
      <c r="A11" s="11"/>
      <c r="B11" s="8" t="s">
        <v>14</v>
      </c>
    </row>
    <row r="12" spans="1:18">
      <c r="A12" s="3" t="s">
        <v>15</v>
      </c>
      <c r="B12" s="4"/>
    </row>
    <row r="13" spans="1:18">
      <c r="A13" s="7"/>
      <c r="B13" s="8" t="s">
        <v>16</v>
      </c>
    </row>
    <row r="14" spans="1:18">
      <c r="A14" s="7"/>
      <c r="B14" s="8" t="s">
        <v>17</v>
      </c>
    </row>
    <row r="15" spans="1:18">
      <c r="A15" s="7"/>
      <c r="B15" s="8" t="s">
        <v>18</v>
      </c>
    </row>
    <row r="16" spans="1:18">
      <c r="A16" s="7"/>
      <c r="B16" s="8" t="s">
        <v>19</v>
      </c>
    </row>
    <row r="17" spans="1:2">
      <c r="A17" s="7"/>
      <c r="B17" s="8" t="s">
        <v>14</v>
      </c>
    </row>
    <row r="18" spans="1:2">
      <c r="A18" s="7"/>
      <c r="B18" s="12"/>
    </row>
    <row r="19" spans="1:2">
      <c r="A19" s="7"/>
      <c r="B19" s="12"/>
    </row>
    <row r="20" spans="1:2">
      <c r="A20" s="7"/>
      <c r="B20" s="12"/>
    </row>
    <row r="21" spans="1:2">
      <c r="A21" s="15" t="s">
        <v>20</v>
      </c>
      <c r="B21" s="16"/>
    </row>
  </sheetData>
  <mergeCells count="1">
    <mergeCell ref="A1:R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2026-04-08T12:40:06Z</dcterms:created>
  <dcterms:modified xsi:type="dcterms:W3CDTF">2026-04-15T10:47:35Z</dcterms:modified>
  <cp:category/>
  <cp:contentStatus/>
</cp:coreProperties>
</file>